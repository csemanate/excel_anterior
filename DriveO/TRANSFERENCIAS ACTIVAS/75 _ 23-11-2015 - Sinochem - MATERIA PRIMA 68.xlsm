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1.xml" ContentType="application/vnd.ms-office.activeX+xml"/>
  <Override PartName="/xl/activeX/activeX21.bin" ContentType="application/vnd.ms-office.activeX"/>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hidePivotFieldList="1" defaultThemeVersion="124226"/>
  <mc:AlternateContent xmlns:mc="http://schemas.openxmlformats.org/markup-compatibility/2006">
    <mc:Choice Requires="x15">
      <x15ac:absPath xmlns:x15ac="http://schemas.microsoft.com/office/spreadsheetml/2010/11/ac" url="O:\TRANSFERENCIAS ACTIVAS\"/>
    </mc:Choice>
  </mc:AlternateContent>
  <bookViews>
    <workbookView xWindow="240" yWindow="30120" windowWidth="15480" windowHeight="8565"/>
  </bookViews>
  <sheets>
    <sheet name="TRANSFERENCIA" sheetId="1" r:id="rId1"/>
    <sheet name="DUE" sheetId="19" state="hidden" r:id="rId2"/>
    <sheet name="US" sheetId="17" state="veryHidden" r:id="rId3"/>
    <sheet name="PATH" sheetId="13" state="hidden" r:id="rId4"/>
    <sheet name="DATOS" sheetId="3" state="hidden" r:id="rId5"/>
    <sheet name="REPETIDO" sheetId="4" state="hidden" r:id="rId6"/>
    <sheet name="USER" sheetId="18" state="hidden" r:id="rId7"/>
    <sheet name="CUBICAJE" sheetId="5" state="hidden" r:id="rId8"/>
    <sheet name="RECETAS" sheetId="7" state="hidden" r:id="rId9"/>
    <sheet name="ASIGNACION" sheetId="8" state="hidden" r:id="rId10"/>
    <sheet name="MPyPT" sheetId="9" state="hidden" r:id="rId11"/>
    <sheet name="Causas" sheetId="10" state="hidden" r:id="rId12"/>
    <sheet name="IMPRESION" sheetId="11" state="hidden" r:id="rId13"/>
    <sheet name="CriteriosFiltros" sheetId="12" state="hidden" r:id="rId14"/>
    <sheet name="CONSOLIDADOS" sheetId="15" state="hidden" r:id="rId15"/>
    <sheet name="v_buffer_hist_hoy" sheetId="20" state="hidden" r:id="rId16"/>
    <sheet name="CONSUMO" sheetId="16" state="hidden" r:id="rId17"/>
  </sheets>
  <functionGroups builtInGroupCount="18"/>
  <externalReferences>
    <externalReference r:id="rId18"/>
    <externalReference r:id="rId19"/>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ncelar_Range" localSheetId="0" hidden="1">{21,566.25,TRUE,3,45,51.75}</definedName>
    <definedName name="_cmdConfirmar_Range" localSheetId="0" hidden="1">{21,564.75,TRUE,3,21.75,51.75}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{16.5,333,TRUE,2,84.75,13.5}</definedName>
    <definedName name="_cmdFechaCierre_Range" localSheetId="0" hidden="1">{16.5,534.75,TRUE,2,39.75,13.5}</definedName>
    <definedName name="_cmdImprimir_Range" localSheetId="0" hidden="1">{21,119.25,TRUE,3,2.25,29.25}</definedName>
    <definedName name="_cmdLlenarTransfer_Range" localSheetId="0" hidden="1">{21,566.25,TRUE,3,21.75,71.25}</definedName>
    <definedName name="_cmdLlenarTransferEspecial_Range" localSheetId="0" hidden="1">{21,572.25,TRUE,3,21.75,82.5}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TRANSFERENCIA!$A$8:$BS$21</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3" hidden="1">PATH!$G$1:$I$2</definedName>
    <definedName name="Consulta_desde_DatosConsolidados" localSheetId="3" hidden="1">PATH!$A$1:$D$2</definedName>
    <definedName name="Consulta_desde_ODBC_MySQL_en_AGROTA" localSheetId="11" hidden="1">Causas!$A$1:$A$4</definedName>
    <definedName name="Consulta_desde_ODBC_RAMCAS1" localSheetId="3" hidden="1">PATH!$K$1:$M$9</definedName>
    <definedName name="Consulta_desde_ODBC_RAMCAS1_1" localSheetId="3" hidden="1">PATH!$Q$1:$R$2</definedName>
    <definedName name="Consulta_desde_ODBC_RAMCAS1_2" localSheetId="3" hidden="1">PATH!$T$1:$W$54</definedName>
    <definedName name="Consulta_desde_REPORTES_en_Access" localSheetId="10" hidden="1">MPyPT!$A$1:$B$745</definedName>
    <definedName name="Consulta_desde_REPORTES_en_Access" localSheetId="8" hidden="1">RECETAS!$A$1:$G$24</definedName>
    <definedName name="DESTINO">TRANSFERENCIA!$B$4</definedName>
    <definedName name="EMPRESA" comment="Rango que se utiliza para llenar el combobox donde se elije en qué empresa se está trabajando." localSheetId="3">[1]!Tabla_EMPRESA[NombreEmpresa]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TABLATRANSFERENCIA[[#Headers],[Columna1]]</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3">OFFSET([0]!INICIO,0,0,COUNTA([2]TRANSFERENCIA!$A:$A)-4,COUNTA([2]TRANSFERENCIA!$8:$8))</definedName>
    <definedName name="TABLA">TRANSFERENCIA!$A$8:$BS$21</definedName>
    <definedName name="TIPO">ASIGNACION!$D$3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7" r:id="rId20"/>
  </pivotCaches>
</workbook>
</file>

<file path=xl/calcChain.xml><?xml version="1.0" encoding="utf-8"?>
<calcChain xmlns="http://schemas.openxmlformats.org/spreadsheetml/2006/main">
  <c r="AU21" i="1" l="1" a="1"/>
  <c r="AU21" i="1" s="1"/>
  <c r="AV21" i="1" a="1"/>
  <c r="AV21" i="1" s="1"/>
  <c r="AW21" i="1" a="1"/>
  <c r="AW21" i="1" s="1"/>
  <c r="AX21" i="1" a="1"/>
  <c r="AX21" i="1" s="1"/>
  <c r="AY21" i="1" a="1"/>
  <c r="AY21" i="1" s="1"/>
  <c r="AZ21" i="1" a="1"/>
  <c r="AZ21" i="1" s="1"/>
  <c r="BF21" i="1"/>
  <c r="BG21" i="1"/>
  <c r="BH21" i="1"/>
  <c r="BI21" i="1"/>
  <c r="BJ21" i="1"/>
  <c r="BO21" i="1"/>
  <c r="BR21" i="1"/>
  <c r="AU20" i="1" a="1"/>
  <c r="AU20" i="1" s="1"/>
  <c r="AV20" i="1" a="1"/>
  <c r="AV20" i="1" s="1"/>
  <c r="AW20" i="1" a="1"/>
  <c r="AW20" i="1" s="1"/>
  <c r="AX20" i="1" a="1"/>
  <c r="AX20" i="1" s="1"/>
  <c r="AY20" i="1" a="1"/>
  <c r="AY20" i="1" s="1"/>
  <c r="AZ20" i="1" a="1"/>
  <c r="AZ20" i="1" s="1"/>
  <c r="BF20" i="1"/>
  <c r="BG20" i="1"/>
  <c r="BH20" i="1"/>
  <c r="BI20" i="1"/>
  <c r="BJ20" i="1"/>
  <c r="BO20" i="1"/>
  <c r="BR20" i="1"/>
  <c r="AU19" i="1" a="1"/>
  <c r="AU19" i="1" s="1"/>
  <c r="AV19" i="1" a="1"/>
  <c r="AV19" i="1" s="1"/>
  <c r="AW19" i="1" a="1"/>
  <c r="AW19" i="1" s="1"/>
  <c r="AX19" i="1" a="1"/>
  <c r="AX19" i="1" s="1"/>
  <c r="AY19" i="1" a="1"/>
  <c r="AY19" i="1" s="1"/>
  <c r="AZ19" i="1" a="1"/>
  <c r="AZ19" i="1" s="1"/>
  <c r="BF19" i="1"/>
  <c r="BG19" i="1"/>
  <c r="BH19" i="1"/>
  <c r="BI19" i="1"/>
  <c r="BJ19" i="1"/>
  <c r="BO19" i="1"/>
  <c r="BR19" i="1"/>
  <c r="AU18" i="1" a="1"/>
  <c r="AU18" i="1" s="1"/>
  <c r="AV18" i="1" a="1"/>
  <c r="AV18" i="1" s="1"/>
  <c r="AW18" i="1" a="1"/>
  <c r="AW18" i="1" s="1"/>
  <c r="AX18" i="1" a="1"/>
  <c r="AX18" i="1" s="1"/>
  <c r="AY18" i="1" a="1"/>
  <c r="AY18" i="1" s="1"/>
  <c r="AZ18" i="1" a="1"/>
  <c r="AZ18" i="1" s="1"/>
  <c r="BF18" i="1"/>
  <c r="BG18" i="1"/>
  <c r="BH18" i="1"/>
  <c r="BI18" i="1"/>
  <c r="BJ18" i="1"/>
  <c r="BO18" i="1"/>
  <c r="BR18" i="1"/>
  <c r="AU17" i="1" a="1"/>
  <c r="AU17" i="1" s="1"/>
  <c r="AV17" i="1" a="1"/>
  <c r="AV17" i="1" s="1"/>
  <c r="AW17" i="1" a="1"/>
  <c r="AW17" i="1" s="1"/>
  <c r="AX17" i="1" a="1"/>
  <c r="AX17" i="1" s="1"/>
  <c r="AY17" i="1" a="1"/>
  <c r="AY17" i="1"/>
  <c r="AZ17" i="1" a="1"/>
  <c r="AZ17" i="1" s="1"/>
  <c r="BF17" i="1"/>
  <c r="BG17" i="1"/>
  <c r="BH17" i="1"/>
  <c r="BI17" i="1"/>
  <c r="BJ17" i="1"/>
  <c r="BO17" i="1"/>
  <c r="BR17" i="1"/>
  <c r="AU16" i="1" a="1"/>
  <c r="AU16" i="1" s="1"/>
  <c r="AV16" i="1" a="1"/>
  <c r="AV16" i="1" s="1"/>
  <c r="AW16" i="1" a="1"/>
  <c r="AW16" i="1"/>
  <c r="AX16" i="1" a="1"/>
  <c r="AX16" i="1" s="1"/>
  <c r="AY16" i="1" a="1"/>
  <c r="AY16" i="1" s="1"/>
  <c r="AZ16" i="1" a="1"/>
  <c r="AZ16" i="1" s="1"/>
  <c r="BF16" i="1"/>
  <c r="BG16" i="1"/>
  <c r="BH16" i="1"/>
  <c r="BI16" i="1"/>
  <c r="BJ16" i="1"/>
  <c r="BO16" i="1"/>
  <c r="BR16" i="1"/>
  <c r="AU15" i="1" a="1"/>
  <c r="AU15" i="1"/>
  <c r="AV15" i="1" a="1"/>
  <c r="AV15" i="1"/>
  <c r="AW15" i="1" a="1"/>
  <c r="AW15" i="1" s="1"/>
  <c r="AX15" i="1" a="1"/>
  <c r="AX15" i="1"/>
  <c r="AY15" i="1" a="1"/>
  <c r="AY15" i="1" s="1"/>
  <c r="AZ15" i="1" a="1"/>
  <c r="AZ15" i="1"/>
  <c r="BF15" i="1"/>
  <c r="BG15" i="1"/>
  <c r="BH15" i="1"/>
  <c r="BI15" i="1"/>
  <c r="BJ15" i="1"/>
  <c r="BO15" i="1"/>
  <c r="BR15" i="1"/>
  <c r="AU14" i="1" a="1"/>
  <c r="AU14" i="1" s="1"/>
  <c r="AV14" i="1" a="1"/>
  <c r="AV14" i="1" s="1"/>
  <c r="AW14" i="1" a="1"/>
  <c r="AW14" i="1" s="1"/>
  <c r="AX14" i="1" a="1"/>
  <c r="AX14" i="1" s="1"/>
  <c r="AY14" i="1" a="1"/>
  <c r="AY14" i="1" s="1"/>
  <c r="AZ14" i="1" a="1"/>
  <c r="AZ14" i="1" s="1"/>
  <c r="BF14" i="1"/>
  <c r="BG14" i="1"/>
  <c r="BH14" i="1"/>
  <c r="BI14" i="1"/>
  <c r="BJ14" i="1"/>
  <c r="BO14" i="1"/>
  <c r="BR14" i="1"/>
  <c r="AU13" i="1" a="1"/>
  <c r="AU13" i="1" s="1"/>
  <c r="AV13" i="1" a="1"/>
  <c r="AV13" i="1" s="1"/>
  <c r="AW13" i="1" a="1"/>
  <c r="AW13" i="1" s="1"/>
  <c r="AX13" i="1" a="1"/>
  <c r="AX13" i="1" s="1"/>
  <c r="AY13" i="1" a="1"/>
  <c r="AY13" i="1"/>
  <c r="AZ13" i="1" a="1"/>
  <c r="AZ13" i="1" s="1"/>
  <c r="BF13" i="1"/>
  <c r="BG13" i="1"/>
  <c r="BH13" i="1"/>
  <c r="BI13" i="1"/>
  <c r="BJ13" i="1"/>
  <c r="BO13" i="1"/>
  <c r="BR13" i="1"/>
  <c r="AU12" i="1" a="1"/>
  <c r="AU12" i="1" s="1"/>
  <c r="AV12" i="1" a="1"/>
  <c r="AV12" i="1" s="1"/>
  <c r="AW12" i="1" a="1"/>
  <c r="AW12" i="1" s="1"/>
  <c r="AX12" i="1" a="1"/>
  <c r="AX12" i="1" s="1"/>
  <c r="AY12" i="1" a="1"/>
  <c r="AY12" i="1" s="1"/>
  <c r="AZ12" i="1" a="1"/>
  <c r="AZ12" i="1" s="1"/>
  <c r="BF12" i="1"/>
  <c r="BG12" i="1"/>
  <c r="BH12" i="1"/>
  <c r="BI12" i="1"/>
  <c r="BJ12" i="1"/>
  <c r="BO12" i="1"/>
  <c r="BR12" i="1"/>
  <c r="AU11" i="1" a="1"/>
  <c r="AU11" i="1"/>
  <c r="AV11" i="1" a="1"/>
  <c r="AV11" i="1" s="1"/>
  <c r="AW11" i="1" a="1"/>
  <c r="AW11" i="1" s="1"/>
  <c r="AX11" i="1" a="1"/>
  <c r="AX11" i="1" s="1"/>
  <c r="AY11" i="1" a="1"/>
  <c r="AY11" i="1" s="1"/>
  <c r="AZ11" i="1" a="1"/>
  <c r="AZ11" i="1" s="1"/>
  <c r="BF11" i="1"/>
  <c r="BG11" i="1"/>
  <c r="BH11" i="1"/>
  <c r="BI11" i="1"/>
  <c r="BJ11" i="1"/>
  <c r="BO11" i="1"/>
  <c r="BR11" i="1"/>
  <c r="AU10" i="1" a="1"/>
  <c r="AU10" i="1" s="1"/>
  <c r="AV10" i="1" a="1"/>
  <c r="AV10" i="1" s="1"/>
  <c r="AW10" i="1" a="1"/>
  <c r="AW10" i="1" s="1"/>
  <c r="AX10" i="1" a="1"/>
  <c r="AX10" i="1" s="1"/>
  <c r="AY10" i="1" a="1"/>
  <c r="AY10" i="1" s="1"/>
  <c r="AZ10" i="1" a="1"/>
  <c r="AZ10" i="1" s="1"/>
  <c r="BF10" i="1"/>
  <c r="BG10" i="1"/>
  <c r="BH10" i="1"/>
  <c r="BI10" i="1"/>
  <c r="BJ10" i="1"/>
  <c r="BO10" i="1"/>
  <c r="BR10" i="1"/>
  <c r="AU9" i="1" a="1"/>
  <c r="AU9" i="1" s="1"/>
  <c r="AV9" i="1" a="1"/>
  <c r="AV9" i="1" s="1"/>
  <c r="AW9" i="1" a="1"/>
  <c r="AW9" i="1" s="1"/>
  <c r="AX9" i="1" a="1"/>
  <c r="AX9" i="1" s="1"/>
  <c r="AY9" i="1" a="1"/>
  <c r="AY9" i="1" s="1"/>
  <c r="AZ9" i="1" a="1"/>
  <c r="AZ9" i="1" s="1"/>
  <c r="BF9" i="1"/>
  <c r="BG9" i="1"/>
  <c r="BH9" i="1"/>
  <c r="BI9" i="1"/>
  <c r="BJ9" i="1"/>
  <c r="BO9" i="1"/>
  <c r="BR9" i="1"/>
  <c r="B21" i="1"/>
  <c r="F21" i="1"/>
  <c r="J21" i="1"/>
  <c r="N21" i="1"/>
  <c r="R21" i="1"/>
  <c r="V21" i="1"/>
  <c r="Z21" i="1"/>
  <c r="AD21" i="1"/>
  <c r="AH21" i="1"/>
  <c r="AL21" i="1"/>
  <c r="AP21" i="1"/>
  <c r="AT21" i="1"/>
  <c r="B20" i="1"/>
  <c r="F20" i="1"/>
  <c r="J20" i="1"/>
  <c r="N20" i="1"/>
  <c r="R20" i="1"/>
  <c r="V20" i="1"/>
  <c r="Z20" i="1"/>
  <c r="AD20" i="1"/>
  <c r="AH20" i="1"/>
  <c r="AL20" i="1"/>
  <c r="AP20" i="1"/>
  <c r="AT20" i="1"/>
  <c r="B19" i="1"/>
  <c r="F19" i="1"/>
  <c r="J19" i="1"/>
  <c r="N19" i="1"/>
  <c r="R19" i="1"/>
  <c r="V19" i="1"/>
  <c r="Z19" i="1"/>
  <c r="AD19" i="1"/>
  <c r="AH19" i="1"/>
  <c r="AL19" i="1"/>
  <c r="AP19" i="1"/>
  <c r="AT19" i="1"/>
  <c r="B18" i="1"/>
  <c r="F18" i="1"/>
  <c r="J18" i="1"/>
  <c r="N18" i="1"/>
  <c r="R18" i="1"/>
  <c r="V18" i="1"/>
  <c r="Z18" i="1"/>
  <c r="AD18" i="1"/>
  <c r="AH18" i="1"/>
  <c r="AL18" i="1"/>
  <c r="AP18" i="1"/>
  <c r="AT18" i="1"/>
  <c r="B17" i="1"/>
  <c r="F17" i="1"/>
  <c r="J17" i="1"/>
  <c r="N17" i="1"/>
  <c r="R17" i="1"/>
  <c r="V17" i="1"/>
  <c r="Z17" i="1"/>
  <c r="AD17" i="1"/>
  <c r="AH17" i="1"/>
  <c r="AL17" i="1"/>
  <c r="AP17" i="1"/>
  <c r="AT17" i="1"/>
  <c r="B16" i="1"/>
  <c r="F16" i="1"/>
  <c r="J16" i="1"/>
  <c r="N16" i="1"/>
  <c r="R16" i="1"/>
  <c r="V16" i="1"/>
  <c r="Z16" i="1"/>
  <c r="AD16" i="1"/>
  <c r="AH16" i="1"/>
  <c r="AL16" i="1"/>
  <c r="AP16" i="1"/>
  <c r="AT16" i="1"/>
  <c r="B15" i="1"/>
  <c r="F15" i="1"/>
  <c r="J15" i="1"/>
  <c r="N15" i="1"/>
  <c r="R15" i="1"/>
  <c r="V15" i="1"/>
  <c r="Z15" i="1"/>
  <c r="AD15" i="1"/>
  <c r="AH15" i="1"/>
  <c r="AL15" i="1"/>
  <c r="C21" i="1"/>
  <c r="G21" i="1"/>
  <c r="K21" i="1"/>
  <c r="O21" i="1"/>
  <c r="S21" i="1"/>
  <c r="W21" i="1"/>
  <c r="AA21" i="1"/>
  <c r="AE21" i="1"/>
  <c r="AI21" i="1"/>
  <c r="AM21" i="1"/>
  <c r="AQ21" i="1"/>
  <c r="BA21" i="1"/>
  <c r="C20" i="1"/>
  <c r="G20" i="1"/>
  <c r="K20" i="1"/>
  <c r="O20" i="1"/>
  <c r="S20" i="1"/>
  <c r="W20" i="1"/>
  <c r="AA20" i="1"/>
  <c r="AE20" i="1"/>
  <c r="AI20" i="1"/>
  <c r="AM20" i="1"/>
  <c r="AQ20" i="1"/>
  <c r="BA20" i="1"/>
  <c r="C19" i="1"/>
  <c r="G19" i="1"/>
  <c r="K19" i="1"/>
  <c r="O19" i="1"/>
  <c r="S19" i="1"/>
  <c r="W19" i="1"/>
  <c r="AA19" i="1"/>
  <c r="AE19" i="1"/>
  <c r="AI19" i="1"/>
  <c r="AM19" i="1"/>
  <c r="AQ19" i="1"/>
  <c r="BA19" i="1"/>
  <c r="D21" i="1"/>
  <c r="H21" i="1"/>
  <c r="L21" i="1"/>
  <c r="P21" i="1"/>
  <c r="T21" i="1"/>
  <c r="X21" i="1"/>
  <c r="AB21" i="1"/>
  <c r="AF21" i="1"/>
  <c r="AJ21" i="1"/>
  <c r="AN21" i="1"/>
  <c r="AR21" i="1"/>
  <c r="BB21" i="1"/>
  <c r="BU21" i="1"/>
  <c r="D20" i="1"/>
  <c r="H20" i="1"/>
  <c r="L20" i="1"/>
  <c r="P20" i="1"/>
  <c r="T20" i="1"/>
  <c r="X20" i="1"/>
  <c r="AB20" i="1"/>
  <c r="AF20" i="1"/>
  <c r="AJ20" i="1"/>
  <c r="AN20" i="1"/>
  <c r="AR20" i="1"/>
  <c r="BB20" i="1"/>
  <c r="BU20" i="1"/>
  <c r="D19" i="1"/>
  <c r="H19" i="1"/>
  <c r="L19" i="1"/>
  <c r="P19" i="1"/>
  <c r="T19" i="1"/>
  <c r="X19" i="1"/>
  <c r="AB19" i="1"/>
  <c r="AF19" i="1"/>
  <c r="AJ19" i="1"/>
  <c r="AN19" i="1"/>
  <c r="AR19" i="1"/>
  <c r="BB19" i="1"/>
  <c r="BU19" i="1"/>
  <c r="D18" i="1"/>
  <c r="H18" i="1"/>
  <c r="L18" i="1"/>
  <c r="P18" i="1"/>
  <c r="T18" i="1"/>
  <c r="X18" i="1"/>
  <c r="AB18" i="1"/>
  <c r="AF18" i="1"/>
  <c r="AJ18" i="1"/>
  <c r="AN18" i="1"/>
  <c r="AR18" i="1"/>
  <c r="BB18" i="1"/>
  <c r="BU18" i="1"/>
  <c r="D17" i="1"/>
  <c r="H17" i="1"/>
  <c r="L17" i="1"/>
  <c r="E21" i="1"/>
  <c r="I21" i="1"/>
  <c r="M21" i="1"/>
  <c r="Q21" i="1"/>
  <c r="U21" i="1"/>
  <c r="Y21" i="1"/>
  <c r="AC21" i="1"/>
  <c r="AG21" i="1"/>
  <c r="AK21" i="1"/>
  <c r="AO21" i="1"/>
  <c r="AS21" i="1"/>
  <c r="BV21" i="1"/>
  <c r="E20" i="1"/>
  <c r="I20" i="1"/>
  <c r="M20" i="1"/>
  <c r="Q20" i="1"/>
  <c r="U20" i="1"/>
  <c r="Y20" i="1"/>
  <c r="AC20" i="1"/>
  <c r="AG20" i="1"/>
  <c r="AK20" i="1"/>
  <c r="AO20" i="1"/>
  <c r="AS20" i="1"/>
  <c r="BV20" i="1"/>
  <c r="E19" i="1"/>
  <c r="I19" i="1"/>
  <c r="M19" i="1"/>
  <c r="Q19" i="1"/>
  <c r="U19" i="1"/>
  <c r="Y19" i="1"/>
  <c r="AC19" i="1"/>
  <c r="AG19" i="1"/>
  <c r="AK19" i="1"/>
  <c r="AO19" i="1"/>
  <c r="AS19" i="1"/>
  <c r="BV19" i="1"/>
  <c r="E18" i="1"/>
  <c r="I18" i="1"/>
  <c r="M18" i="1"/>
  <c r="Q18" i="1"/>
  <c r="U18" i="1"/>
  <c r="Y18" i="1"/>
  <c r="AC18" i="1"/>
  <c r="AG18" i="1"/>
  <c r="AK18" i="1"/>
  <c r="AO18" i="1"/>
  <c r="AS18" i="1"/>
  <c r="G18" i="1"/>
  <c r="W18" i="1"/>
  <c r="AM18" i="1"/>
  <c r="BA18" i="1"/>
  <c r="E17" i="1"/>
  <c r="M17" i="1"/>
  <c r="S17" i="1"/>
  <c r="X17" i="1"/>
  <c r="AC17" i="1"/>
  <c r="AI17" i="1"/>
  <c r="AN17" i="1"/>
  <c r="AS17" i="1"/>
  <c r="D16" i="1"/>
  <c r="I16" i="1"/>
  <c r="O16" i="1"/>
  <c r="T16" i="1"/>
  <c r="Y16" i="1"/>
  <c r="AE16" i="1"/>
  <c r="AJ16" i="1"/>
  <c r="AO16" i="1"/>
  <c r="BU16" i="1"/>
  <c r="E15" i="1"/>
  <c r="K15" i="1"/>
  <c r="P15" i="1"/>
  <c r="U15" i="1"/>
  <c r="AA15" i="1"/>
  <c r="AF15" i="1"/>
  <c r="AK15" i="1"/>
  <c r="AP15" i="1"/>
  <c r="AT15" i="1"/>
  <c r="B14" i="1"/>
  <c r="F14" i="1"/>
  <c r="J14" i="1"/>
  <c r="N14" i="1"/>
  <c r="R14" i="1"/>
  <c r="V14" i="1"/>
  <c r="Z14" i="1"/>
  <c r="AD14" i="1"/>
  <c r="AH14" i="1"/>
  <c r="AL14" i="1"/>
  <c r="AP14" i="1"/>
  <c r="AT14" i="1"/>
  <c r="B13" i="1"/>
  <c r="F13" i="1"/>
  <c r="J13" i="1"/>
  <c r="N13" i="1"/>
  <c r="R13" i="1"/>
  <c r="V13" i="1"/>
  <c r="Z13" i="1"/>
  <c r="AD13" i="1"/>
  <c r="AH13" i="1"/>
  <c r="AL13" i="1"/>
  <c r="AP13" i="1"/>
  <c r="AT13" i="1"/>
  <c r="B12" i="1"/>
  <c r="F12" i="1"/>
  <c r="J12" i="1"/>
  <c r="N12" i="1"/>
  <c r="R12" i="1"/>
  <c r="V12" i="1"/>
  <c r="Z12" i="1"/>
  <c r="AD12" i="1"/>
  <c r="AH12" i="1"/>
  <c r="AL12" i="1"/>
  <c r="AP12" i="1"/>
  <c r="AT12" i="1"/>
  <c r="B11" i="1"/>
  <c r="F11" i="1"/>
  <c r="J11" i="1"/>
  <c r="N11" i="1"/>
  <c r="R11" i="1"/>
  <c r="V11" i="1"/>
  <c r="Z11" i="1"/>
  <c r="AD11" i="1"/>
  <c r="AH11" i="1"/>
  <c r="AL11" i="1"/>
  <c r="AP11" i="1"/>
  <c r="AT11" i="1"/>
  <c r="B10" i="1"/>
  <c r="F10" i="1"/>
  <c r="J10" i="1"/>
  <c r="N10" i="1"/>
  <c r="R10" i="1"/>
  <c r="V10" i="1"/>
  <c r="Z10" i="1"/>
  <c r="AD10" i="1"/>
  <c r="AH10" i="1"/>
  <c r="AL10" i="1"/>
  <c r="AP10" i="1"/>
  <c r="AT10" i="1"/>
  <c r="B9" i="1"/>
  <c r="F9" i="1"/>
  <c r="J9" i="1"/>
  <c r="N9" i="1"/>
  <c r="R9" i="1"/>
  <c r="V9" i="1"/>
  <c r="Z9" i="1"/>
  <c r="AD9" i="1"/>
  <c r="AH9" i="1"/>
  <c r="AL9" i="1"/>
  <c r="AP9" i="1"/>
  <c r="AT9" i="1"/>
  <c r="K10" i="1"/>
  <c r="AA10" i="1"/>
  <c r="AM10" i="1"/>
  <c r="C9" i="1"/>
  <c r="K9" i="1"/>
  <c r="S9" i="1"/>
  <c r="AA9" i="1"/>
  <c r="AE9" i="1"/>
  <c r="AM9" i="1"/>
  <c r="K18" i="1"/>
  <c r="AA18" i="1"/>
  <c r="AQ18" i="1"/>
  <c r="G17" i="1"/>
  <c r="O17" i="1"/>
  <c r="T17" i="1"/>
  <c r="Y17" i="1"/>
  <c r="AE17" i="1"/>
  <c r="AJ17" i="1"/>
  <c r="AO17" i="1"/>
  <c r="BU17" i="1"/>
  <c r="E16" i="1"/>
  <c r="K16" i="1"/>
  <c r="P16" i="1"/>
  <c r="U16" i="1"/>
  <c r="AA16" i="1"/>
  <c r="AF16" i="1"/>
  <c r="AK16" i="1"/>
  <c r="AQ16" i="1"/>
  <c r="BA16" i="1"/>
  <c r="BV16" i="1"/>
  <c r="G15" i="1"/>
  <c r="L15" i="1"/>
  <c r="Q15" i="1"/>
  <c r="W15" i="1"/>
  <c r="AB15" i="1"/>
  <c r="AG15" i="1"/>
  <c r="AM15" i="1"/>
  <c r="AQ15" i="1"/>
  <c r="BA15" i="1"/>
  <c r="C14" i="1"/>
  <c r="G14" i="1"/>
  <c r="K14" i="1"/>
  <c r="O14" i="1"/>
  <c r="S14" i="1"/>
  <c r="W14" i="1"/>
  <c r="AA14" i="1"/>
  <c r="AE14" i="1"/>
  <c r="AI14" i="1"/>
  <c r="AM14" i="1"/>
  <c r="AQ14" i="1"/>
  <c r="BA14" i="1"/>
  <c r="C13" i="1"/>
  <c r="G13" i="1"/>
  <c r="K13" i="1"/>
  <c r="O13" i="1"/>
  <c r="S13" i="1"/>
  <c r="W13" i="1"/>
  <c r="AA13" i="1"/>
  <c r="AE13" i="1"/>
  <c r="AI13" i="1"/>
  <c r="AM13" i="1"/>
  <c r="AQ13" i="1"/>
  <c r="BA13" i="1"/>
  <c r="C12" i="1"/>
  <c r="G12" i="1"/>
  <c r="K12" i="1"/>
  <c r="O12" i="1"/>
  <c r="S12" i="1"/>
  <c r="W12" i="1"/>
  <c r="AA12" i="1"/>
  <c r="AE12" i="1"/>
  <c r="AI12" i="1"/>
  <c r="AM12" i="1"/>
  <c r="AQ12" i="1"/>
  <c r="BA12" i="1"/>
  <c r="C11" i="1"/>
  <c r="G11" i="1"/>
  <c r="K11" i="1"/>
  <c r="O11" i="1"/>
  <c r="S11" i="1"/>
  <c r="W11" i="1"/>
  <c r="AA11" i="1"/>
  <c r="AE11" i="1"/>
  <c r="AI11" i="1"/>
  <c r="AM11" i="1"/>
  <c r="AQ11" i="1"/>
  <c r="BA11" i="1"/>
  <c r="C10" i="1"/>
  <c r="G10" i="1"/>
  <c r="O10" i="1"/>
  <c r="S10" i="1"/>
  <c r="W10" i="1"/>
  <c r="AE10" i="1"/>
  <c r="AI10" i="1"/>
  <c r="AQ10" i="1"/>
  <c r="BA10" i="1"/>
  <c r="G9" i="1"/>
  <c r="O9" i="1"/>
  <c r="W9" i="1"/>
  <c r="AI9" i="1"/>
  <c r="AQ9" i="1"/>
  <c r="BA9" i="1"/>
  <c r="O18" i="1"/>
  <c r="AE18" i="1"/>
  <c r="BV18" i="1"/>
  <c r="I17" i="1"/>
  <c r="P17" i="1"/>
  <c r="U17" i="1"/>
  <c r="AA17" i="1"/>
  <c r="AF17" i="1"/>
  <c r="AK17" i="1"/>
  <c r="AQ17" i="1"/>
  <c r="BA17" i="1"/>
  <c r="BV17" i="1"/>
  <c r="G16" i="1"/>
  <c r="L16" i="1"/>
  <c r="Q16" i="1"/>
  <c r="W16" i="1"/>
  <c r="AB16" i="1"/>
  <c r="AG16" i="1"/>
  <c r="AM16" i="1"/>
  <c r="AR16" i="1"/>
  <c r="BB16" i="1"/>
  <c r="C15" i="1"/>
  <c r="H15" i="1"/>
  <c r="M15" i="1"/>
  <c r="S15" i="1"/>
  <c r="X15" i="1"/>
  <c r="AC15" i="1"/>
  <c r="AI15" i="1"/>
  <c r="AN15" i="1"/>
  <c r="AR15" i="1"/>
  <c r="BB15" i="1"/>
  <c r="BU15" i="1"/>
  <c r="D14" i="1"/>
  <c r="H14" i="1"/>
  <c r="L14" i="1"/>
  <c r="P14" i="1"/>
  <c r="T14" i="1"/>
  <c r="X14" i="1"/>
  <c r="AB14" i="1"/>
  <c r="AF14" i="1"/>
  <c r="AJ14" i="1"/>
  <c r="AN14" i="1"/>
  <c r="AR14" i="1"/>
  <c r="BB14" i="1"/>
  <c r="BU14" i="1"/>
  <c r="D13" i="1"/>
  <c r="H13" i="1"/>
  <c r="L13" i="1"/>
  <c r="P13" i="1"/>
  <c r="T13" i="1"/>
  <c r="X13" i="1"/>
  <c r="AB13" i="1"/>
  <c r="AF13" i="1"/>
  <c r="AJ13" i="1"/>
  <c r="AN13" i="1"/>
  <c r="AR13" i="1"/>
  <c r="BB13" i="1"/>
  <c r="BU13" i="1"/>
  <c r="D12" i="1"/>
  <c r="H12" i="1"/>
  <c r="L12" i="1"/>
  <c r="P12" i="1"/>
  <c r="T12" i="1"/>
  <c r="X12" i="1"/>
  <c r="AB12" i="1"/>
  <c r="AF12" i="1"/>
  <c r="AJ12" i="1"/>
  <c r="AN12" i="1"/>
  <c r="AR12" i="1"/>
  <c r="BB12" i="1"/>
  <c r="BU12" i="1"/>
  <c r="D11" i="1"/>
  <c r="H11" i="1"/>
  <c r="L11" i="1"/>
  <c r="P11" i="1"/>
  <c r="T11" i="1"/>
  <c r="X11" i="1"/>
  <c r="AB11" i="1"/>
  <c r="AF11" i="1"/>
  <c r="AJ11" i="1"/>
  <c r="AN11" i="1"/>
  <c r="AR11" i="1"/>
  <c r="BB11" i="1"/>
  <c r="BU11" i="1"/>
  <c r="D10" i="1"/>
  <c r="H10" i="1"/>
  <c r="L10" i="1"/>
  <c r="P10" i="1"/>
  <c r="T10" i="1"/>
  <c r="X10" i="1"/>
  <c r="AB10" i="1"/>
  <c r="AF10" i="1"/>
  <c r="AJ10" i="1"/>
  <c r="AN10" i="1"/>
  <c r="AR10" i="1"/>
  <c r="BB10" i="1"/>
  <c r="BU10" i="1"/>
  <c r="D9" i="1"/>
  <c r="H9" i="1"/>
  <c r="L9" i="1"/>
  <c r="P9" i="1"/>
  <c r="T9" i="1"/>
  <c r="X9" i="1"/>
  <c r="AB9" i="1"/>
  <c r="AF9" i="1"/>
  <c r="AJ9" i="1"/>
  <c r="AN9" i="1"/>
  <c r="AR9" i="1"/>
  <c r="BB9" i="1"/>
  <c r="BU9" i="1"/>
  <c r="C18" i="1"/>
  <c r="S18" i="1"/>
  <c r="AI18" i="1"/>
  <c r="C17" i="1"/>
  <c r="K17" i="1"/>
  <c r="Q17" i="1"/>
  <c r="W17" i="1"/>
  <c r="AB17" i="1"/>
  <c r="AG17" i="1"/>
  <c r="AM17" i="1"/>
  <c r="AR17" i="1"/>
  <c r="BB17" i="1"/>
  <c r="C16" i="1"/>
  <c r="H16" i="1"/>
  <c r="M16" i="1"/>
  <c r="S16" i="1"/>
  <c r="X16" i="1"/>
  <c r="AC16" i="1"/>
  <c r="AI16" i="1"/>
  <c r="AN16" i="1"/>
  <c r="AS16" i="1"/>
  <c r="D15" i="1"/>
  <c r="I15" i="1"/>
  <c r="O15" i="1"/>
  <c r="T15" i="1"/>
  <c r="Y15" i="1"/>
  <c r="AE15" i="1"/>
  <c r="AJ15" i="1"/>
  <c r="AO15" i="1"/>
  <c r="AS15" i="1"/>
  <c r="BV15" i="1"/>
  <c r="E14" i="1"/>
  <c r="I14" i="1"/>
  <c r="M14" i="1"/>
  <c r="Q14" i="1"/>
  <c r="U14" i="1"/>
  <c r="Y14" i="1"/>
  <c r="AC14" i="1"/>
  <c r="AG14" i="1"/>
  <c r="AK14" i="1"/>
  <c r="AO14" i="1"/>
  <c r="AS14" i="1"/>
  <c r="BV14" i="1"/>
  <c r="E13" i="1"/>
  <c r="I13" i="1"/>
  <c r="M13" i="1"/>
  <c r="Q13" i="1"/>
  <c r="U13" i="1"/>
  <c r="Y13" i="1"/>
  <c r="AC13" i="1"/>
  <c r="AG13" i="1"/>
  <c r="AK13" i="1"/>
  <c r="AO13" i="1"/>
  <c r="AS13" i="1"/>
  <c r="BV13" i="1"/>
  <c r="E12" i="1"/>
  <c r="I12" i="1"/>
  <c r="M12" i="1"/>
  <c r="Q12" i="1"/>
  <c r="U12" i="1"/>
  <c r="Y12" i="1"/>
  <c r="AC12" i="1"/>
  <c r="AG12" i="1"/>
  <c r="AK12" i="1"/>
  <c r="AO12" i="1"/>
  <c r="AS12" i="1"/>
  <c r="BV12" i="1"/>
  <c r="E11" i="1"/>
  <c r="I11" i="1"/>
  <c r="M11" i="1"/>
  <c r="Q11" i="1"/>
  <c r="U11" i="1"/>
  <c r="Y11" i="1"/>
  <c r="AC11" i="1"/>
  <c r="AG11" i="1"/>
  <c r="AK11" i="1"/>
  <c r="AO11" i="1"/>
  <c r="AS11" i="1"/>
  <c r="BV11" i="1"/>
  <c r="E10" i="1"/>
  <c r="I10" i="1"/>
  <c r="M10" i="1"/>
  <c r="Q10" i="1"/>
  <c r="U10" i="1"/>
  <c r="Y10" i="1"/>
  <c r="AC10" i="1"/>
  <c r="AG10" i="1"/>
  <c r="AK10" i="1"/>
  <c r="AO10" i="1"/>
  <c r="AS10" i="1"/>
  <c r="BV10" i="1"/>
  <c r="E9" i="1"/>
  <c r="I9" i="1"/>
  <c r="M9" i="1"/>
  <c r="Q9" i="1"/>
  <c r="U9" i="1"/>
  <c r="Y9" i="1"/>
  <c r="AC9" i="1"/>
  <c r="AG9" i="1"/>
  <c r="AK9" i="1"/>
  <c r="AO9" i="1"/>
  <c r="AS9" i="1"/>
  <c r="BV9" i="1"/>
  <c r="BS16" i="1" l="1" a="1"/>
  <c r="BS16" i="1" s="1"/>
  <c r="BS17" i="1" a="1"/>
  <c r="BS17" i="1" s="1"/>
  <c r="BS18" i="1" a="1"/>
  <c r="BS18" i="1" s="1"/>
  <c r="BS15" i="1" a="1"/>
  <c r="BS15" i="1" s="1"/>
  <c r="BS10" i="1" a="1"/>
  <c r="BS10" i="1" s="1"/>
  <c r="BS11" i="1" a="1"/>
  <c r="BS11" i="1" s="1"/>
  <c r="BS12" i="1" a="1"/>
  <c r="BS12" i="1" s="1"/>
  <c r="BS13" i="1" a="1"/>
  <c r="BS13" i="1" s="1"/>
  <c r="BS14" i="1" a="1"/>
  <c r="BS14" i="1" s="1"/>
  <c r="BS9" i="1" a="1"/>
  <c r="BS9" i="1" s="1"/>
  <c r="BL9" i="1"/>
  <c r="BT9" i="1"/>
  <c r="BL10" i="1"/>
  <c r="BT10" i="1"/>
  <c r="BL11" i="1"/>
  <c r="BT11" i="1"/>
  <c r="BL12" i="1"/>
  <c r="BT12" i="1"/>
  <c r="BL13" i="1"/>
  <c r="BT13" i="1"/>
  <c r="BL14" i="1"/>
  <c r="BT14" i="1"/>
  <c r="BL15" i="1"/>
  <c r="BS19" i="1" a="1"/>
  <c r="BS19" i="1" s="1"/>
  <c r="BS20" i="1" a="1"/>
  <c r="BS20" i="1" s="1"/>
  <c r="BS21" i="1" a="1"/>
  <c r="BS21" i="1" s="1"/>
  <c r="BT15" i="1"/>
  <c r="BL16" i="1"/>
  <c r="BT16" i="1"/>
  <c r="BL17" i="1"/>
  <c r="BT17" i="1"/>
  <c r="BL18" i="1"/>
  <c r="BT18" i="1"/>
  <c r="BL19" i="1"/>
  <c r="BT19" i="1"/>
  <c r="BL20" i="1"/>
  <c r="BT20" i="1"/>
  <c r="BL21" i="1"/>
  <c r="BT21" i="1"/>
  <c r="N2" i="13"/>
  <c r="N3" i="13"/>
  <c r="N4" i="13"/>
  <c r="N5" i="13"/>
  <c r="N6" i="13"/>
  <c r="N7" i="13"/>
  <c r="N8" i="13"/>
  <c r="N9" i="13"/>
  <c r="B3" i="12" l="1"/>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Descripción que identifica a la presente transferencia, por ejemplo: Importación Japón #32. Sirve para que se la pueda identificar de mejor manera.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C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E8" authorId="0" shapeId="0">
      <text>
        <r>
          <rPr>
            <b/>
            <sz val="9"/>
            <color indexed="81"/>
            <rFont val="Tahoma"/>
            <family val="2"/>
          </rPr>
          <t>CAS:</t>
        </r>
        <r>
          <rPr>
            <sz val="9"/>
            <color indexed="81"/>
            <rFont val="Tahoma"/>
            <family val="2"/>
          </rPr>
          <t xml:space="preserve">
Número de embarques en los cuales se va a dividir el REQUERIM.</t>
        </r>
      </text>
    </comment>
    <comment ref="BM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N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P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Q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P-MATRIZ') AND (`CONSOLIDADO$`.Codigo='02.001.0007')"/>
  </connection>
  <connection id="3" name="Consulta desde ODBC MySQL en AGROTA" type="1" refreshedVersion="3"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ASCOS-BATERIAS.xlsm' AND bodega.bod_nombre='BP-MATRIZ'"/>
  </connection>
  <connection id="5" name="Consulta desde ODBC RAMCAS11" type="1" refreshedVersion="3" saveData="1">
    <dbPr connection="DSN=ODBC RAMCAS1;" command="SELECT empresa_0.emp_codigo, empresa_0.emp_nombre_x000d__x000a_FROM ramcas.empresa empresa_0"/>
  </connection>
  <connection id="6" name="Consulta desde ODBC RAMCAS12" type="1" refreshedVersion="3"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<sst xmlns="http://schemas.openxmlformats.org/spreadsheetml/2006/main" count="4177" uniqueCount="1543">
  <si>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</si>
  <si>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</si>
  <si>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</si>
  <si>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</si>
  <si>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</si>
  <si>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</si>
  <si>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</si>
  <si>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</si>
  <si>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</si>
  <si>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</si>
  <si>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</si>
  <si>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</si>
  <si>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</si>
  <si>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</si>
  <si>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</si>
  <si>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</si>
  <si>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</si>
  <si>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</si>
  <si>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</si>
  <si>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</si>
  <si>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</si>
  <si>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</si>
  <si>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</si>
  <si>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</si>
  <si>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REFERENCIA</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</si>
  <si>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</si>
  <si>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</si>
  <si>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</si>
  <si>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</si>
  <si>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</si>
  <si>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</si>
  <si>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</si>
  <si>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</si>
  <si>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</si>
  <si>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</si>
  <si>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</si>
  <si>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</si>
  <si>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</si>
  <si>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</si>
  <si>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</si>
  <si>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</si>
  <si>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</si>
  <si>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</si>
  <si>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</si>
  <si>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</si>
  <si>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</si>
  <si>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</si>
  <si>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</si>
  <si>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</si>
  <si>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</si>
  <si>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</si>
  <si>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</si>
  <si>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</si>
  <si>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</si>
  <si>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</si>
  <si>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</si>
  <si>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</si>
  <si>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</si>
  <si>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</si>
  <si>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</si>
  <si>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</si>
  <si>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</si>
  <si>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</si>
  <si>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</si>
  <si>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</si>
  <si>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</si>
  <si>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</si>
  <si>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</si>
  <si>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</si>
  <si>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</si>
  <si>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</si>
  <si>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</si>
  <si>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</si>
  <si>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</si>
  <si>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</si>
  <si>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</si>
  <si>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</si>
  <si>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</si>
  <si>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</si>
  <si>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</si>
  <si>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</si>
  <si>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</si>
  <si>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</si>
  <si>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</si>
  <si>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</si>
  <si>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</si>
  <si>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</si>
  <si>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</si>
  <si>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</si>
  <si>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</si>
  <si>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</si>
  <si>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</si>
  <si>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</si>
  <si>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</si>
  <si>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</si>
  <si>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</si>
  <si>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</si>
  <si>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</si>
  <si>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</si>
  <si>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</si>
  <si>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</si>
  <si>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</si>
  <si>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</si>
  <si>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</si>
  <si>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</si>
  <si>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</si>
  <si>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</si>
  <si>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</si>
  <si>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</si>
  <si>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</si>
  <si>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</si>
  <si>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</si>
  <si>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</si>
  <si>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</si>
  <si>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</si>
  <si>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</si>
  <si>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</si>
  <si>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</si>
  <si>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</si>
  <si>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</si>
  <si>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</si>
  <si>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</si>
  <si>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</si>
  <si>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</si>
  <si>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</si>
  <si>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</si>
  <si>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</si>
  <si>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</si>
  <si>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</si>
  <si>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</si>
  <si>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</si>
  <si>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</si>
  <si>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</si>
  <si>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</si>
  <si>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</si>
  <si>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</si>
  <si>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</si>
  <si>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</si>
  <si>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</si>
  <si>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</si>
  <si>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</si>
  <si>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</si>
  <si>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</si>
  <si>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</si>
  <si>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</si>
  <si>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</si>
  <si>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</si>
  <si>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</si>
  <si>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</si>
  <si>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</si>
  <si>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</si>
  <si>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</si>
  <si>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</si>
  <si>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</si>
  <si>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</si>
  <si>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</si>
  <si>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</si>
  <si>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</si>
  <si>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</si>
  <si>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</si>
  <si>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</si>
  <si>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</si>
  <si>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</si>
  <si>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</si>
  <si>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</si>
  <si>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</si>
  <si>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</si>
  <si>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</si>
  <si>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</si>
  <si>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</si>
  <si>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</si>
  <si>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</si>
  <si>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</si>
  <si>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</si>
  <si>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</si>
  <si>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</si>
  <si>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</si>
  <si>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</si>
  <si>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</si>
  <si>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</si>
  <si>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</si>
  <si>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</si>
  <si>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</si>
  <si>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</si>
  <si>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</si>
  <si>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</si>
  <si>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</si>
  <si>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</si>
  <si>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</si>
  <si>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</si>
  <si>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</si>
  <si>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</si>
  <si>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</si>
  <si>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</si>
  <si>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</si>
  <si>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</si>
  <si>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</si>
  <si>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</si>
  <si>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</si>
  <si>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</si>
  <si>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</si>
  <si>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</si>
  <si>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</si>
  <si>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</si>
  <si>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</si>
  <si>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</si>
  <si>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</si>
  <si>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</si>
  <si>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</si>
  <si>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</si>
  <si>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</si>
  <si>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</si>
  <si>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</si>
  <si>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</si>
  <si>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</si>
  <si>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</si>
  <si>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</si>
  <si>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</si>
  <si>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</si>
  <si>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</si>
  <si>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</si>
  <si>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</si>
  <si>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</si>
  <si>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</si>
  <si>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</si>
  <si>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</si>
  <si>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</si>
  <si>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</si>
  <si>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</si>
  <si>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</si>
  <si>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</si>
  <si>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</si>
  <si>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</si>
  <si>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</si>
  <si>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</si>
  <si>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</si>
  <si>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</si>
  <si>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</si>
  <si>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</si>
  <si>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</si>
  <si>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</si>
  <si>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</si>
  <si>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</si>
  <si>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</si>
  <si>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</si>
  <si>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</si>
  <si>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</si>
  <si>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</si>
  <si>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</si>
  <si>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</si>
  <si>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</si>
  <si>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</si>
  <si>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</si>
  <si>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</si>
  <si>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</si>
  <si>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</si>
  <si>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</si>
  <si>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</si>
  <si>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</si>
  <si>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</si>
  <si>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</si>
  <si>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</si>
  <si>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</si>
  <si>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</si>
  <si>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</si>
  <si>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</si>
  <si>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</si>
  <si>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</si>
  <si>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</si>
  <si>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</si>
  <si>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</si>
  <si>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</si>
  <si>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</si>
  <si>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</si>
  <si>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</si>
  <si>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</si>
  <si>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</si>
  <si>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</si>
  <si>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</si>
  <si>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</si>
  <si>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</si>
  <si>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</si>
  <si>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</si>
  <si>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</si>
  <si>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</si>
  <si>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</si>
  <si>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</si>
  <si>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</si>
  <si>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</si>
  <si>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</si>
  <si>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</si>
  <si>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</si>
  <si>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</si>
  <si>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</si>
  <si>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</si>
  <si>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</si>
  <si>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</si>
  <si>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</si>
  <si>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</si>
  <si>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</si>
  <si>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</si>
  <si>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</si>
  <si>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</si>
  <si>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</si>
  <si>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</si>
  <si>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</si>
  <si>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</si>
  <si>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</si>
  <si>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</si>
  <si>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</si>
  <si>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</si>
  <si>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</si>
  <si>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</si>
  <si>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</si>
  <si>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</si>
  <si>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</si>
  <si>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</si>
  <si>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</si>
  <si>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</si>
  <si>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</si>
  <si>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</si>
  <si>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</si>
  <si>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</si>
  <si>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</si>
  <si>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</si>
  <si>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</si>
  <si>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</si>
  <si>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</si>
  <si>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</si>
  <si>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</si>
  <si>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</si>
  <si>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</si>
  <si>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</si>
  <si>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</si>
  <si>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</si>
  <si>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</si>
  <si>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</si>
  <si>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</si>
  <si>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</si>
  <si>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</si>
  <si>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</si>
  <si>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</si>
  <si>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</si>
  <si>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</si>
  <si>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</si>
  <si>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</si>
  <si>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</si>
  <si>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</si>
  <si>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</si>
  <si>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</si>
  <si>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</si>
  <si>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</si>
  <si>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</si>
  <si>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</si>
  <si>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</si>
  <si>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</si>
  <si>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</si>
  <si>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</si>
  <si>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</si>
  <si>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</si>
  <si>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</si>
  <si>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</si>
  <si>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</si>
  <si>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</si>
  <si>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</si>
  <si>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</si>
  <si>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</si>
  <si>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</si>
  <si>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</si>
  <si>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</si>
  <si>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</si>
  <si>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</si>
  <si>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</si>
  <si>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</si>
  <si>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</si>
  <si>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</si>
  <si>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</si>
  <si>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</si>
  <si>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</si>
  <si>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</si>
  <si>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</si>
  <si>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</si>
  <si>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</si>
  <si>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</si>
  <si>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</si>
  <si>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</si>
  <si>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</si>
  <si>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</si>
  <si>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</si>
  <si>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</si>
  <si>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</si>
  <si>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</si>
  <si>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</si>
  <si>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</si>
  <si>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</si>
  <si>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</si>
  <si>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</si>
  <si>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</si>
  <si>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</si>
  <si>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</si>
  <si>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</si>
  <si>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</si>
  <si>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</si>
  <si>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</si>
  <si>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</si>
  <si>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</si>
  <si>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</si>
  <si>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</si>
  <si>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</si>
  <si>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</si>
  <si>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</si>
  <si>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</si>
  <si>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</si>
  <si>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</si>
  <si>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</si>
  <si>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</si>
  <si>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</si>
  <si>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</si>
  <si>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</si>
  <si>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</si>
  <si>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</si>
  <si>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</si>
  <si>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</si>
  <si>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</si>
  <si>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</si>
  <si>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</si>
  <si>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</si>
  <si>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</si>
  <si>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</si>
  <si>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</si>
  <si>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</si>
  <si>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</si>
  <si>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</si>
  <si>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</si>
  <si>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</si>
  <si>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</si>
  <si>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</si>
  <si>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</si>
  <si>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</si>
  <si>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</si>
  <si>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</si>
  <si>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</si>
  <si>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</si>
  <si>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</si>
  <si>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</si>
  <si>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</si>
  <si>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</si>
  <si>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</si>
  <si>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</si>
  <si>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</si>
  <si>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</si>
  <si>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</si>
  <si>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</si>
  <si>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</si>
  <si>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</si>
  <si>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</si>
  <si>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</si>
  <si>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</si>
  <si>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</si>
  <si>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</si>
  <si>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</si>
  <si>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</si>
  <si>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</si>
  <si>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</si>
  <si>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</si>
  <si>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</si>
  <si>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</si>
  <si>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</si>
  <si>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</si>
  <si>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</si>
  <si>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</si>
  <si>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</si>
  <si>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</si>
  <si>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</si>
  <si>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</si>
  <si>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</si>
  <si>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</si>
  <si>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</si>
  <si>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</si>
  <si>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</si>
  <si>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</si>
  <si>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</si>
  <si>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</si>
  <si>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</si>
  <si>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</si>
  <si>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</si>
  <si>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</si>
  <si>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</si>
  <si>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</si>
  <si>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</si>
  <si>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</si>
  <si>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</si>
  <si>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</si>
  <si>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</si>
  <si>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</si>
  <si>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</si>
  <si>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</si>
  <si>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</si>
  <si>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</si>
  <si>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</si>
  <si>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</si>
  <si>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</si>
  <si>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</si>
  <si>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</si>
  <si>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</si>
  <si>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</si>
  <si>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</si>
  <si>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</si>
  <si>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</si>
  <si>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</si>
  <si>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</si>
  <si>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</si>
  <si>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</si>
  <si>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</si>
  <si>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</si>
  <si>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</si>
  <si>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</si>
  <si>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</si>
  <si>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</si>
  <si>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</si>
  <si>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</si>
  <si>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</si>
  <si>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</si>
  <si>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</si>
  <si>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</si>
  <si>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</si>
  <si>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</si>
  <si>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</si>
  <si>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</si>
  <si>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</si>
  <si>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</si>
  <si>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</si>
  <si>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</si>
  <si>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</si>
  <si>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</si>
  <si>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</si>
  <si>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</si>
  <si>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</si>
  <si>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</si>
  <si>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</si>
  <si>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</si>
  <si>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</si>
  <si>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</si>
  <si>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</si>
  <si>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</si>
  <si>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</si>
  <si>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</si>
  <si>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</si>
  <si>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</si>
  <si>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</si>
  <si>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</si>
  <si>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</si>
  <si>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</si>
  <si>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</si>
  <si>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</si>
  <si>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</si>
  <si>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</si>
  <si>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</si>
  <si>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</si>
  <si>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</si>
  <si>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</si>
  <si>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</si>
  <si>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</si>
  <si>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</si>
  <si>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</si>
  <si>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</si>
  <si>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</si>
  <si>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</si>
  <si>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</si>
  <si>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</si>
  <si>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</si>
  <si>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</si>
  <si>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</si>
  <si>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</si>
  <si>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</si>
  <si>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</si>
  <si>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</si>
  <si>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</si>
  <si>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</si>
  <si>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</si>
  <si>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</si>
  <si>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</si>
  <si>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</si>
  <si>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</si>
  <si>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</si>
  <si>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</si>
  <si>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</si>
  <si>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</si>
  <si>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</si>
  <si>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</si>
  <si>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</si>
  <si>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</si>
  <si>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</si>
  <si>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</si>
  <si>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</si>
  <si>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</si>
  <si>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</si>
  <si>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</si>
  <si>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</si>
  <si>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</si>
  <si>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</si>
  <si>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</si>
  <si>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</si>
  <si>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</si>
  <si>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</si>
  <si>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</si>
  <si>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</si>
  <si>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</si>
  <si>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</si>
  <si>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</si>
  <si>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</si>
  <si>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</si>
  <si>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</si>
  <si>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</si>
  <si>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</si>
  <si>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</si>
  <si>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</si>
  <si>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</si>
  <si>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</si>
  <si>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</si>
  <si>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</si>
  <si>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</si>
  <si>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</si>
  <si>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</si>
  <si>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</si>
  <si>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</si>
  <si>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</si>
  <si>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</si>
  <si>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</si>
  <si>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</si>
  <si>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</si>
  <si>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</si>
  <si>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</si>
  <si>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</si>
  <si>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</si>
  <si>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</si>
  <si>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</si>
  <si>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</si>
  <si>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</si>
  <si>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</si>
  <si>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</si>
  <si>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</si>
  <si>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</si>
  <si>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</si>
  <si>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</si>
  <si>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</si>
  <si>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</si>
  <si>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</si>
  <si>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</si>
  <si>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</si>
  <si>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</si>
  <si>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</si>
  <si>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</si>
  <si>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</si>
  <si>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</si>
  <si>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</si>
  <si>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</si>
  <si>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</si>
  <si>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</si>
  <si>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</si>
  <si>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</si>
  <si>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</si>
  <si>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</si>
  <si>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</si>
  <si>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</si>
  <si>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</si>
  <si>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</si>
  <si>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</si>
  <si>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</si>
  <si>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</si>
  <si>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</si>
  <si>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</si>
  <si>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</si>
  <si>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</si>
  <si>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</si>
  <si>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</si>
  <si>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</si>
  <si>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</si>
  <si>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</si>
  <si>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</si>
  <si>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</si>
  <si>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</si>
  <si>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</si>
  <si>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</si>
  <si>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</si>
  <si>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</si>
  <si>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</si>
  <si>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</si>
  <si>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</si>
  <si>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</si>
  <si>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</si>
  <si>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</si>
  <si>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</si>
  <si>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</si>
  <si>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</si>
  <si>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</si>
  <si>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</si>
  <si>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</si>
  <si>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</si>
  <si>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</si>
  <si>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</si>
  <si>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</si>
  <si>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</si>
  <si>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</si>
  <si>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</si>
  <si>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</si>
  <si>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</si>
  <si>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</si>
  <si>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</si>
  <si>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</si>
  <si>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</si>
  <si>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</si>
  <si>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</si>
  <si>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</si>
  <si>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</si>
  <si>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</si>
  <si>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</si>
  <si>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</si>
  <si>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</si>
  <si>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</si>
  <si>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</si>
  <si>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</si>
  <si>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</si>
  <si>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</si>
  <si>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</si>
  <si>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</si>
  <si>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</si>
  <si>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</si>
  <si>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</si>
  <si>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</si>
  <si>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</si>
  <si>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</si>
  <si>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</si>
  <si>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</si>
  <si>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</si>
  <si>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</si>
  <si>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</si>
  <si>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</si>
  <si>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</si>
  <si>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</si>
  <si>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</si>
  <si>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</si>
  <si>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</si>
  <si>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</si>
  <si>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</si>
  <si>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</si>
  <si>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</si>
  <si>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</si>
  <si>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</si>
  <si>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</si>
  <si>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</si>
  <si>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</si>
  <si>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</si>
  <si>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</si>
  <si>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</si>
  <si>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</si>
  <si>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</si>
  <si>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</si>
  <si>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</si>
  <si>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</si>
  <si>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</si>
  <si>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</si>
  <si>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</si>
  <si>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</si>
  <si>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</si>
  <si>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</si>
  <si>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</si>
  <si>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</si>
  <si>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</si>
  <si>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</si>
  <si>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</si>
  <si>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</si>
  <si>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</si>
  <si>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</si>
  <si>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</si>
  <si>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</si>
  <si>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</si>
  <si>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</si>
  <si>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</si>
  <si>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</si>
  <si>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</si>
  <si>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</si>
  <si>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</si>
  <si>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</si>
  <si>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</si>
  <si>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</si>
  <si>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</si>
  <si>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</si>
  <si>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</si>
  <si>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</si>
  <si>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</si>
  <si>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</si>
  <si>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</si>
  <si>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</si>
  <si>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</si>
  <si>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</si>
  <si>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</si>
  <si>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</si>
  <si>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</si>
  <si>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</si>
  <si>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</si>
  <si>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</si>
  <si>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</si>
  <si>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</si>
  <si>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</si>
  <si>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</si>
  <si>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</si>
  <si>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</si>
  <si>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</si>
  <si>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</si>
  <si>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</si>
  <si>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</si>
  <si>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</si>
  <si>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</si>
  <si>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</si>
  <si>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</si>
  <si>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</si>
  <si>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</si>
  <si>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</si>
  <si>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</si>
  <si>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</si>
  <si>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</si>
  <si>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</si>
  <si>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</si>
  <si>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</si>
  <si>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</si>
  <si>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</si>
  <si>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</si>
  <si>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</si>
  <si>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</si>
  <si>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</si>
  <si>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</si>
  <si>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</si>
  <si>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</si>
  <si>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</si>
  <si>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</si>
  <si>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</si>
  <si>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</si>
  <si>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</si>
  <si>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</si>
  <si>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</si>
  <si>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</si>
  <si>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</si>
  <si>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</si>
  <si>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</si>
  <si>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</si>
  <si>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</si>
  <si>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</si>
  <si>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</si>
  <si>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</si>
  <si>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</si>
  <si>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</si>
  <si>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</si>
  <si>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</si>
  <si>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</si>
  <si>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</si>
  <si>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</si>
  <si>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</si>
  <si>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</si>
  <si>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</si>
  <si>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</si>
  <si>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</si>
  <si>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</si>
  <si>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</si>
  <si>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</si>
  <si>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</si>
  <si>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</si>
  <si>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</si>
  <si>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</si>
  <si>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</si>
  <si>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</si>
  <si>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</si>
  <si>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</si>
  <si>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</si>
  <si>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</si>
  <si>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</si>
  <si>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</si>
  <si>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</si>
  <si>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</si>
  <si>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</si>
  <si>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</si>
  <si>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</si>
  <si>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</si>
  <si>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</si>
  <si>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</si>
  <si>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BP-MATRIZ</t>
  </si>
  <si>
    <t>MOTORALMOR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</si>
  <si>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</si>
  <si>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</si>
  <si>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</si>
  <si>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</si>
  <si>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</si>
  <si>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</si>
  <si>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</si>
  <si>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</si>
  <si>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</si>
  <si>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</si>
  <si>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</si>
  <si>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</si>
  <si>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</si>
  <si>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</si>
  <si>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</si>
  <si>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</si>
  <si>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</si>
  <si>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</si>
  <si>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</si>
  <si>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</si>
  <si>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</si>
  <si>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</si>
  <si>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</si>
  <si>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</si>
  <si>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</si>
  <si>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</si>
  <si>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</si>
  <si>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</si>
  <si>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</si>
  <si>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</si>
  <si>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</si>
  <si>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</si>
  <si>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</si>
  <si>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</si>
  <si>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</si>
  <si>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</si>
  <si>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</si>
  <si>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</si>
  <si>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</si>
  <si>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</si>
  <si>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</si>
  <si>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</si>
  <si>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</si>
  <si>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</si>
  <si>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</si>
  <si>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</si>
  <si>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</si>
  <si>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</si>
  <si>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</si>
  <si>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</si>
  <si>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</si>
  <si>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</si>
  <si>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</si>
  <si>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</si>
  <si>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</si>
  <si>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</si>
  <si>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</si>
  <si>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</si>
  <si>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</si>
  <si>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</si>
  <si>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</si>
  <si>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</si>
  <si>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</si>
  <si>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</si>
  <si>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</si>
  <si>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</si>
  <si>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</si>
  <si>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</si>
  <si>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</si>
  <si>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</si>
  <si>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</si>
  <si>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</si>
  <si>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</si>
  <si>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</si>
  <si>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</si>
  <si>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</si>
  <si>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</si>
  <si>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</si>
  <si>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</si>
  <si>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</si>
  <si>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</si>
  <si>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</si>
  <si>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</si>
  <si>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</si>
  <si>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</si>
  <si>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</si>
  <si>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</si>
  <si>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</si>
  <si>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</si>
  <si>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</si>
  <si>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</si>
  <si>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</si>
  <si>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</si>
  <si>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</si>
  <si>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</si>
  <si>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</si>
  <si>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</si>
  <si>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</si>
  <si>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</si>
  <si>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</si>
  <si>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</si>
  <si>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</si>
  <si>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</si>
  <si>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</si>
  <si>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</si>
  <si>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</si>
  <si>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</si>
  <si>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</si>
  <si>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</si>
  <si>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</si>
  <si>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</si>
  <si>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</si>
  <si>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</si>
  <si>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</si>
  <si>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</si>
  <si>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</si>
  <si>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</si>
  <si>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</si>
  <si>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</si>
  <si>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</si>
  <si>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</si>
  <si>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</si>
  <si>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</si>
  <si>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</si>
  <si>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</si>
  <si>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</si>
  <si>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</si>
  <si>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</si>
  <si>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</si>
  <si>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</si>
  <si>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</si>
  <si>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</si>
  <si>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</si>
  <si>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</si>
  <si>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</si>
  <si>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</si>
  <si>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</si>
  <si>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</si>
  <si>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</si>
  <si>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</si>
  <si>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</si>
  <si>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</si>
  <si>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</si>
  <si>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</si>
  <si>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</si>
  <si>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</si>
  <si>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</si>
  <si>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</si>
  <si>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</si>
  <si>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</si>
  <si>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</si>
  <si>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GYE.Bodega Central</t>
  </si>
  <si>
    <t>JAHER</t>
  </si>
  <si>
    <t>28</t>
  </si>
  <si>
    <t>2</t>
  </si>
  <si>
    <t>261</t>
  </si>
  <si>
    <t>MAC. Bodega Machala II</t>
  </si>
  <si>
    <t>274</t>
  </si>
  <si>
    <t>CDR.Cuenca Regional</t>
  </si>
  <si>
    <t>25</t>
  </si>
  <si>
    <t>GYE.Bodega Almacen</t>
  </si>
  <si>
    <t>196</t>
  </si>
  <si>
    <t>UIO.CDR UIO  SUR</t>
  </si>
  <si>
    <t>124</t>
  </si>
  <si>
    <t>MAN. Bodega Manabí</t>
  </si>
  <si>
    <t>159</t>
  </si>
  <si>
    <t>BBH. Bodega Babahoyo</t>
  </si>
  <si>
    <t>CUE.Luis Cordero</t>
  </si>
  <si>
    <t>32</t>
  </si>
  <si>
    <t>CUE.Mall del Rio</t>
  </si>
  <si>
    <t>309</t>
  </si>
  <si>
    <t>CUE.El Arenal 2</t>
  </si>
  <si>
    <t>31</t>
  </si>
  <si>
    <t>CUE.El Arenal</t>
  </si>
  <si>
    <t>250</t>
  </si>
  <si>
    <t>CUE. Lamar</t>
  </si>
  <si>
    <t>9</t>
  </si>
  <si>
    <t>AMB.Cevallos</t>
  </si>
  <si>
    <t>11</t>
  </si>
  <si>
    <t>RBA.Riobamba</t>
  </si>
  <si>
    <t>16</t>
  </si>
  <si>
    <t>TNA.Tena</t>
  </si>
  <si>
    <t>269</t>
  </si>
  <si>
    <t>COT. Salcedo</t>
  </si>
  <si>
    <t>270</t>
  </si>
  <si>
    <t>PYO.Puyo II</t>
  </si>
  <si>
    <t>15</t>
  </si>
  <si>
    <t>GYE.9 de Octubre I</t>
  </si>
  <si>
    <t>22</t>
  </si>
  <si>
    <t>GYE.9 de Octubre II</t>
  </si>
  <si>
    <t>189</t>
  </si>
  <si>
    <t>GYE. Duran III</t>
  </si>
  <si>
    <t>249</t>
  </si>
  <si>
    <t>GYE.Portete III</t>
  </si>
  <si>
    <t>87</t>
  </si>
  <si>
    <t>MAN.Mega</t>
  </si>
  <si>
    <t>125</t>
  </si>
  <si>
    <t>MBI. Rocafuerte</t>
  </si>
  <si>
    <t>188</t>
  </si>
  <si>
    <t>PTV. Portoviejo II</t>
  </si>
  <si>
    <t>266</t>
  </si>
  <si>
    <t>MAN.Tarqui II</t>
  </si>
  <si>
    <t>5</t>
  </si>
  <si>
    <t>GRD.Guaranda</t>
  </si>
  <si>
    <t>34</t>
  </si>
  <si>
    <t>MON.Montalvo</t>
  </si>
  <si>
    <t>35</t>
  </si>
  <si>
    <t>BBH. Babahoyo</t>
  </si>
  <si>
    <t>101</t>
  </si>
  <si>
    <t>QVD.Quevedo</t>
  </si>
  <si>
    <t>265</t>
  </si>
  <si>
    <t>LRI. Ventanas</t>
  </si>
  <si>
    <t>116</t>
  </si>
  <si>
    <t>STO.Santo Domingo</t>
  </si>
  <si>
    <t>198</t>
  </si>
  <si>
    <t>STO.Santo Domingo 3</t>
  </si>
  <si>
    <t>228</t>
  </si>
  <si>
    <t>UIO. Naciones Unidas</t>
  </si>
  <si>
    <t>229</t>
  </si>
  <si>
    <t>UIO. Recreo</t>
  </si>
  <si>
    <t>244</t>
  </si>
  <si>
    <t>UIO.Recreo III</t>
  </si>
  <si>
    <t>247</t>
  </si>
  <si>
    <t>UIO. Sangolqui</t>
  </si>
  <si>
    <t>248</t>
  </si>
  <si>
    <t>UIO. La Prensa 2</t>
  </si>
  <si>
    <t>6</t>
  </si>
  <si>
    <t>MCH.Machala</t>
  </si>
  <si>
    <t>29</t>
  </si>
  <si>
    <t>PSJ.Pasaje</t>
  </si>
  <si>
    <t>33</t>
  </si>
  <si>
    <t>GYE.Mall del Sur</t>
  </si>
  <si>
    <t>49</t>
  </si>
  <si>
    <t>GYE.California</t>
  </si>
  <si>
    <t>108</t>
  </si>
  <si>
    <t>GYE.Trinitaria</t>
  </si>
  <si>
    <t>152</t>
  </si>
  <si>
    <t>GYE.Alborada II</t>
  </si>
  <si>
    <t>182</t>
  </si>
  <si>
    <t>GYE Florida II</t>
  </si>
  <si>
    <t>190</t>
  </si>
  <si>
    <t>GYE. Guasmo III</t>
  </si>
  <si>
    <t>260</t>
  </si>
  <si>
    <t>DAU. Daule</t>
  </si>
  <si>
    <t>267</t>
  </si>
  <si>
    <t>SEL. La Libertad</t>
  </si>
  <si>
    <t>8</t>
  </si>
  <si>
    <t>TRC.La Troncal</t>
  </si>
  <si>
    <t>100</t>
  </si>
  <si>
    <t>MLG.Milagro</t>
  </si>
  <si>
    <t>350</t>
  </si>
  <si>
    <t>GYE.Mayoreo Guayaquil</t>
  </si>
  <si>
    <t>351</t>
  </si>
  <si>
    <t>UIO.Mayoreo Quito</t>
  </si>
  <si>
    <t>352</t>
  </si>
  <si>
    <t>CUE.Mayoreo Cuenca</t>
  </si>
  <si>
    <t>275</t>
  </si>
  <si>
    <t>GYE.Fortin</t>
  </si>
  <si>
    <t>FECHA</t>
  </si>
  <si>
    <t>FECHAS_CONSUMO</t>
  </si>
  <si>
    <t>FECHA_FORMATO</t>
  </si>
  <si>
    <t>02.001.0007</t>
  </si>
  <si>
    <t>Estatus</t>
  </si>
  <si>
    <t>ULT TRANSFER INI</t>
  </si>
  <si>
    <t>ULT TRANSFER FIN</t>
  </si>
  <si>
    <t>con_estatus</t>
  </si>
  <si>
    <t>con_ultima_transferencia_ini</t>
  </si>
  <si>
    <t>con_ultima_transferencia_fin</t>
  </si>
  <si>
    <t>O:</t>
  </si>
  <si>
    <t>CASCOS-BATERIAS.xlsm</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</si>
  <si>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</si>
  <si>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</si>
  <si>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</si>
  <si>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</si>
  <si>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</si>
  <si>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</si>
  <si>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</si>
  <si>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</si>
  <si>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</si>
  <si>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</si>
  <si>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</si>
  <si>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</si>
  <si>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</si>
  <si>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</si>
  <si>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</si>
  <si>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</si>
  <si>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</si>
  <si>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</si>
  <si>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</si>
  <si>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</si>
  <si>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</si>
  <si>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</si>
  <si>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</si>
  <si>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</si>
  <si>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</si>
  <si>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</si>
  <si>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</si>
  <si>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</si>
  <si>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</si>
  <si>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</si>
  <si>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</si>
  <si>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</si>
  <si>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</si>
  <si>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</si>
  <si>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</si>
  <si>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</si>
  <si>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</si>
  <si>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</si>
  <si>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</si>
  <si>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</si>
  <si>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</si>
  <si>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</si>
  <si>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</si>
  <si>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</si>
  <si>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</si>
  <si>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</si>
  <si>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</si>
  <si>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</si>
  <si>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</si>
  <si>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</si>
  <si>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</si>
  <si>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</si>
  <si>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</si>
  <si>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</si>
  <si>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</si>
  <si>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</si>
  <si>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</si>
  <si>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</si>
  <si>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</si>
  <si>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</si>
  <si>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</si>
  <si>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</si>
  <si>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</si>
  <si>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</si>
  <si>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</si>
  <si>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</si>
  <si>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</si>
  <si>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</si>
  <si>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</si>
  <si>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</si>
  <si>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</si>
  <si>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</si>
  <si>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</si>
  <si>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</si>
  <si>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</si>
  <si>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</si>
  <si>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</si>
  <si>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</si>
  <si>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</si>
  <si>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</si>
  <si>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</si>
  <si>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</si>
  <si>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</si>
  <si>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</si>
  <si>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</si>
  <si>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</si>
  <si>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</si>
  <si>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</si>
  <si>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</si>
  <si>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</si>
  <si>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</si>
  <si>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</si>
  <si>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</si>
  <si>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</si>
  <si>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</si>
  <si>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</si>
  <si>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</si>
  <si>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</si>
  <si>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</si>
  <si>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</si>
  <si>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t>
  </si>
  <si>
    <t>A</t>
  </si>
  <si>
    <t>R</t>
  </si>
  <si>
    <t>L</t>
  </si>
  <si>
    <t>V</t>
  </si>
  <si>
    <t>buh_redondeo_pedido_minimo</t>
  </si>
  <si>
    <t>buh_redondeo_unidad_empaque</t>
  </si>
  <si>
    <t>buh_pedido_calculado_auxiliar</t>
  </si>
  <si>
    <t>G</t>
  </si>
  <si>
    <t>=</t>
  </si>
  <si>
    <t>msalazar</t>
  </si>
  <si>
    <t>Sinochem</t>
  </si>
  <si>
    <t>AGROTA</t>
  </si>
  <si>
    <t>101020132629200</t>
  </si>
  <si>
    <t>101020132630201</t>
  </si>
  <si>
    <t>101020132646205</t>
  </si>
  <si>
    <t>101020133126212</t>
  </si>
  <si>
    <t>101020133658241</t>
  </si>
  <si>
    <t>101020133701245</t>
  </si>
  <si>
    <t>101020133702246</t>
  </si>
  <si>
    <t>101020133704249</t>
  </si>
  <si>
    <t>101020133918417</t>
  </si>
  <si>
    <t>101020133919419</t>
  </si>
  <si>
    <t>101020133920420</t>
  </si>
  <si>
    <t>101020133931435</t>
  </si>
  <si>
    <t>101020133933438</t>
  </si>
  <si>
    <t>101020133939446</t>
  </si>
  <si>
    <t>101020133940448</t>
  </si>
  <si>
    <t>101020133941449</t>
  </si>
  <si>
    <t>101020134003477</t>
  </si>
  <si>
    <t>110106162406121</t>
  </si>
  <si>
    <t>110110124515070</t>
  </si>
  <si>
    <t>110705095740735</t>
  </si>
  <si>
    <t>110708165839448</t>
  </si>
  <si>
    <t>120320092659297</t>
  </si>
  <si>
    <t>120320111852317</t>
  </si>
  <si>
    <t>120320112103389</t>
  </si>
  <si>
    <t>121008085643112</t>
  </si>
  <si>
    <t>121008090342926</t>
  </si>
  <si>
    <t>121008090646102</t>
  </si>
  <si>
    <t>140103163830228</t>
  </si>
  <si>
    <t>141022152413402</t>
  </si>
  <si>
    <t>150422093635544</t>
  </si>
  <si>
    <t>150422095919709</t>
  </si>
  <si>
    <t>120927162604298</t>
  </si>
  <si>
    <t>101020132617183</t>
  </si>
  <si>
    <t>MPHECOBIS-200LIT</t>
  </si>
  <si>
    <t>+-</t>
  </si>
  <si>
    <t>LIBRE-124</t>
  </si>
  <si>
    <t>Default</t>
  </si>
  <si>
    <t>Importacion Quimicos.xlsm</t>
  </si>
  <si>
    <t>CHINA</t>
  </si>
  <si>
    <t xml:space="preserve">BISPIRIBAC SODIO 40% SC x 200LIT </t>
  </si>
  <si>
    <t>TEBUCONAZOL 25% EC</t>
  </si>
  <si>
    <t>PLAGUICIDAS CONVENCIONALES</t>
  </si>
  <si>
    <t>FUNGICIDA</t>
  </si>
  <si>
    <t>SINOCHEM</t>
  </si>
  <si>
    <t>MPACCOHXY-200LIT</t>
  </si>
  <si>
    <t>SUSP-11</t>
  </si>
  <si>
    <t xml:space="preserve">HEXYTHIAZOX 5% EC x 200LIT </t>
  </si>
  <si>
    <t>HEXYTHIAZOX 5% EC</t>
  </si>
  <si>
    <t>INSECTICIDA</t>
  </si>
  <si>
    <t>MPFUCOMYC-200LIT</t>
  </si>
  <si>
    <t>MYCLOBUTANIL 12.5% EC x 200 LIT</t>
  </si>
  <si>
    <t>MYCLOBUTANIL 12.5% EC</t>
  </si>
  <si>
    <t>101020132631202</t>
  </si>
  <si>
    <t>MPFUCOBEN-500G</t>
  </si>
  <si>
    <t xml:space="preserve">BENALAXYL 8%+MANCOZEB 65% WP x 500G </t>
  </si>
  <si>
    <t>BENALAXYL 8%+MANCOZEB 65% WP</t>
  </si>
  <si>
    <t>101020132632203</t>
  </si>
  <si>
    <t>MPFUCOBEN-250G</t>
  </si>
  <si>
    <t xml:space="preserve">BENALAXYL 8%+MANCOZEB 65% WP x 250G </t>
  </si>
  <si>
    <t>MPFUCODIF-200LIT</t>
  </si>
  <si>
    <t>SUSP-71</t>
  </si>
  <si>
    <t>DIFENOCONAZOLE 25% EC x 200LIT</t>
  </si>
  <si>
    <t>DIFENOCONAZOLE 25% EC</t>
  </si>
  <si>
    <t>101020133123208</t>
  </si>
  <si>
    <t>MPFUCOFAL-100G</t>
  </si>
  <si>
    <t xml:space="preserve">FOSETYL ALUMINIO 80% WP x 100G </t>
  </si>
  <si>
    <t>FOSETYL ALUMINIO 80% WP</t>
  </si>
  <si>
    <t>MPFUCOCBZ-200LIT</t>
  </si>
  <si>
    <t>CARBENDAZIM 50% SC x 200LIT</t>
  </si>
  <si>
    <t>CARBENDAZIM 50% SC</t>
  </si>
  <si>
    <t>101020133127213</t>
  </si>
  <si>
    <t>MPFUCOCBZ-100G</t>
  </si>
  <si>
    <t xml:space="preserve">CARBENDAZIM 50% WP x 100G </t>
  </si>
  <si>
    <t>CARBENDAZIM 50% WP</t>
  </si>
  <si>
    <t>101020133653235</t>
  </si>
  <si>
    <t>MPINCODTM-200LIT</t>
  </si>
  <si>
    <t xml:space="preserve">DELTAMETRINA 2.5% EC x 200LIT </t>
  </si>
  <si>
    <t>DELTAMETRINA 2.5% EC</t>
  </si>
  <si>
    <t>101020133654236</t>
  </si>
  <si>
    <t>MP-065</t>
  </si>
  <si>
    <t>LIBRE-40</t>
  </si>
  <si>
    <t>JAPON CHATANI</t>
  </si>
  <si>
    <t>AMITRAZ 20 % EC</t>
  </si>
  <si>
    <t>COADYUVANTE</t>
  </si>
  <si>
    <t>NUTRICIONAL</t>
  </si>
  <si>
    <t>NUTRICIONAL GREEN LIFE</t>
  </si>
  <si>
    <t>AGROCHEM POR LIQUIDAR</t>
  </si>
  <si>
    <t>MPINCOCTP-300G</t>
  </si>
  <si>
    <t>CARTAP 50% PS X 300 G</t>
  </si>
  <si>
    <t>CARTAP 50% SP</t>
  </si>
  <si>
    <t>101020133659242</t>
  </si>
  <si>
    <t>MPINCOCTP-100G</t>
  </si>
  <si>
    <t xml:space="preserve">CARTAP 50% SP x 100G </t>
  </si>
  <si>
    <t>101020133700243</t>
  </si>
  <si>
    <t>CYROMAZINA 75% WP x 50g</t>
  </si>
  <si>
    <t>CYROMAZINA 75% WP</t>
  </si>
  <si>
    <t>101020133700244</t>
  </si>
  <si>
    <t>IMIDACLOPRID 25 % WP 500 G</t>
  </si>
  <si>
    <t>IMIDACLOPRID 25% WP</t>
  </si>
  <si>
    <t>MPINCOIMD-100G</t>
  </si>
  <si>
    <t xml:space="preserve">IMIDACLOPRID 25% WP Preimpresa x 100G </t>
  </si>
  <si>
    <t>MPINCOLCY-200LIT</t>
  </si>
  <si>
    <t>LAMBDACIHALOTRINA 2.5% EC x 200LIT</t>
  </si>
  <si>
    <t>LAMBDACIHALOTRINA 2.5% EC</t>
  </si>
  <si>
    <t>CLOFENTAZINE 50 % SC X LITRO</t>
  </si>
  <si>
    <t>CLOFENTAZINE 50 % SC</t>
  </si>
  <si>
    <t>101020133847374</t>
  </si>
  <si>
    <t>ENVASE PARAGUAS PREIMPRESA</t>
  </si>
  <si>
    <t>PRODUCCION</t>
  </si>
  <si>
    <t>FUNDAS PREIMPRESAS</t>
  </si>
  <si>
    <t>NEYPLEX</t>
  </si>
  <si>
    <t>101020133857388</t>
  </si>
  <si>
    <t>MPPRFISKK-100G</t>
  </si>
  <si>
    <t xml:space="preserve">FUNDA IMPRESA SKEKURA X 100G </t>
  </si>
  <si>
    <t>101020133905400</t>
  </si>
  <si>
    <t>MPPRFISPD-100G</t>
  </si>
  <si>
    <t>FUNDA SINOPRID X 100 GMS PREIMPRESA</t>
  </si>
  <si>
    <t>FUNDAS</t>
  </si>
  <si>
    <t>MPPRENCOC-LIT</t>
  </si>
  <si>
    <t>ENVASE CHINO COEX X LIT</t>
  </si>
  <si>
    <t>ENVASES</t>
  </si>
  <si>
    <t xml:space="preserve">ENVASES </t>
  </si>
  <si>
    <t>MPPRFISTY-100G</t>
  </si>
  <si>
    <t xml:space="preserve">FUNDA IMPRESA SINOTYL X 100G </t>
  </si>
  <si>
    <t>MPFUCOFAL-25KIL</t>
  </si>
  <si>
    <t>FOSETYL ALUMINIO 80% WP x 25KIL</t>
  </si>
  <si>
    <t>101020133920421</t>
  </si>
  <si>
    <t>101020133921422</t>
  </si>
  <si>
    <t>ENVASE AGROTAFOL ENGROSE X KILO PREIMPRE</t>
  </si>
  <si>
    <t>101020133927429</t>
  </si>
  <si>
    <t>IMIDACLOPRID 25 % WP 50 G</t>
  </si>
  <si>
    <t>MPHECOMSF-15G</t>
  </si>
  <si>
    <t xml:space="preserve">METSULFURON METHYL 60% WP x 15G </t>
  </si>
  <si>
    <t>METSULFURON METHYL 60% WP</t>
  </si>
  <si>
    <t>HERBICIDA</t>
  </si>
  <si>
    <t>MPPRFIPCHA-250/500G</t>
  </si>
  <si>
    <t>FUNDA IMPRESA PARALANCHA X 250/500G</t>
  </si>
  <si>
    <t>101020133938444</t>
  </si>
  <si>
    <t>BENALAXYL 8% + MANCOZEB 64% WP 25 KG BLUE</t>
  </si>
  <si>
    <t>BENALAXYL 8% + MANCOZEB 64% WP BLUE</t>
  </si>
  <si>
    <t>MPINCOLCY-250CC</t>
  </si>
  <si>
    <t>LAMBDACIHALOTRINA 2.5% EC x 250CC</t>
  </si>
  <si>
    <t>101020133939447</t>
  </si>
  <si>
    <t>MPINCOLCY-100CC</t>
  </si>
  <si>
    <t xml:space="preserve">LAMBDACIHALOTRINA 2.5% EC x 100CC </t>
  </si>
  <si>
    <t>MPFUCODIF-250CC</t>
  </si>
  <si>
    <t>DIFENOCONAZOLE 25% EC x 250CC</t>
  </si>
  <si>
    <t>MPFUCODIF-100CC</t>
  </si>
  <si>
    <t>DIFENOCONAZOLE 25% EC x 100CC</t>
  </si>
  <si>
    <t>MPPRFICBI-200G</t>
  </si>
  <si>
    <t>FUNDA IMPRESA  AGROTAFOL COMBI X 200G</t>
  </si>
  <si>
    <t>101028100131393</t>
  </si>
  <si>
    <t>MPFUCOBEN-25KIL</t>
  </si>
  <si>
    <t xml:space="preserve">BENALAXYL 8%+MANCOZEB 65% WP x 25KIL </t>
  </si>
  <si>
    <t>101028110630363</t>
  </si>
  <si>
    <t>MPFUCOCBZ-200G</t>
  </si>
  <si>
    <t xml:space="preserve">CARBENDAZIM 50% WP x 200G </t>
  </si>
  <si>
    <t>101028110944646</t>
  </si>
  <si>
    <t>CARBENDAZIM 50 % WP KILO</t>
  </si>
  <si>
    <t>110106145822476</t>
  </si>
  <si>
    <t>MPINCOIMD-25KIL</t>
  </si>
  <si>
    <t xml:space="preserve">IMIDACLOPRID 25% WP x 25KIL </t>
  </si>
  <si>
    <t>110106161755213</t>
  </si>
  <si>
    <t>ENVASE CLON X LITRO</t>
  </si>
  <si>
    <t>TECNOPLAS</t>
  </si>
  <si>
    <t>110106161946582</t>
  </si>
  <si>
    <t>BENALAXYL 8% + MANCOZEB 64% WP 500 GR BLUE</t>
  </si>
  <si>
    <t>MPINCOCYR-50G</t>
  </si>
  <si>
    <t>CYROMAZINE 75% WP Preimpresa  x 50G</t>
  </si>
  <si>
    <t>MPFUCOCBZ-25KIL</t>
  </si>
  <si>
    <t>CARBENDAZIM 50% WP x 25KIL</t>
  </si>
  <si>
    <t>110110124814770</t>
  </si>
  <si>
    <t>MPINCOCTP-25KIL</t>
  </si>
  <si>
    <t>CARTAP 50% SP x 25KIL</t>
  </si>
  <si>
    <t>110119095535146</t>
  </si>
  <si>
    <t>MPPRENCOE-LIT</t>
  </si>
  <si>
    <t>ENVASE COEX X LIT</t>
  </si>
  <si>
    <t>110119095724253</t>
  </si>
  <si>
    <t>MPPRENCOE-500CC</t>
  </si>
  <si>
    <t>ENVASE COEX X 500CC</t>
  </si>
  <si>
    <t>110119100048583</t>
  </si>
  <si>
    <t>MPPRENCOE-250CC</t>
  </si>
  <si>
    <t>ENVASE COEX X 250CC</t>
  </si>
  <si>
    <t>110119100245724</t>
  </si>
  <si>
    <t>MPPRENCOE-100CC</t>
  </si>
  <si>
    <t>ENVASE COEX X 100CC</t>
  </si>
  <si>
    <t>110518111439148</t>
  </si>
  <si>
    <t>MPINCODTM-100CC</t>
  </si>
  <si>
    <t xml:space="preserve">DELTAMETRINA 2.5% EC x 100CC </t>
  </si>
  <si>
    <t>MPFUCOCBZ-500G</t>
  </si>
  <si>
    <t xml:space="preserve">CARBENDAZIM 50% WP x 500G </t>
  </si>
  <si>
    <t>110708162418082</t>
  </si>
  <si>
    <t>MPACCOABM-100CC</t>
  </si>
  <si>
    <t xml:space="preserve">ABAMECTIN 2.0% Ec x 100CC </t>
  </si>
  <si>
    <t xml:space="preserve">ABAMECTIN 2.0% Ec </t>
  </si>
  <si>
    <t>110708162818714</t>
  </si>
  <si>
    <t>ABAMECTINA NEGRA 1.8% EC X LITRO</t>
  </si>
  <si>
    <t>110708163223667</t>
  </si>
  <si>
    <t>CARBENDAZIM 50 % WP 250 GR</t>
  </si>
  <si>
    <t>110708165428692</t>
  </si>
  <si>
    <t>MPFUCOMYC-100CC</t>
  </si>
  <si>
    <t xml:space="preserve">MYCLOBUTANIL 12.5% EC x 100CC </t>
  </si>
  <si>
    <t>MPFUCOMYC-250CC</t>
  </si>
  <si>
    <t xml:space="preserve">MYCLOBUTANIL 12.5% EC x 250CC </t>
  </si>
  <si>
    <t>120320092330989</t>
  </si>
  <si>
    <t>ENVASE PREIMPRESO SKEKURA WP X 200 GR</t>
  </si>
  <si>
    <t>MPPRETSPD-100GR</t>
  </si>
  <si>
    <t xml:space="preserve">FUNDA SINOPRID X 100G </t>
  </si>
  <si>
    <t>120320092942552</t>
  </si>
  <si>
    <t>MP-310 ENVASE SINOTYL X 100 GMS PREIMPRESO</t>
  </si>
  <si>
    <t>MPPRENCOC-100CC</t>
  </si>
  <si>
    <t>ENVASE CHINO COEX X 100CC</t>
  </si>
  <si>
    <t>MPPRENCOC-250CC</t>
  </si>
  <si>
    <t>ENVASE CHINO COEX X 250CC</t>
  </si>
  <si>
    <t>120425094733988</t>
  </si>
  <si>
    <t>ENVASE PREIMPRESO PARALANCHA 250/500 BLUE</t>
  </si>
  <si>
    <t>120425094923266</t>
  </si>
  <si>
    <t>MPPRFIDEP-100G</t>
  </si>
  <si>
    <t>FUNDA PREIMPRESO DEPREDADOR X 100 GR</t>
  </si>
  <si>
    <t>120425095125273</t>
  </si>
  <si>
    <t>MPPRFISKK-200G</t>
  </si>
  <si>
    <t xml:space="preserve">FUNDA IMPRESA SKEKURA X 200G </t>
  </si>
  <si>
    <t>MPPRFIINI-KIL</t>
  </si>
  <si>
    <t xml:space="preserve"> FUNDA IMPRESA PROFESIONAL INICIO X KIL </t>
  </si>
  <si>
    <t>121008085851376</t>
  </si>
  <si>
    <t>MPPRFICRE-KIL</t>
  </si>
  <si>
    <t xml:space="preserve"> FUNDA IMPRESA PROFESIONAL CRECIMIENTO X KIL </t>
  </si>
  <si>
    <t>121008090038190</t>
  </si>
  <si>
    <t>MPPRFIFLO-KIL</t>
  </si>
  <si>
    <t xml:space="preserve"> FUNDA IMPRESA PROFESIONAL FLORACION X KIL </t>
  </si>
  <si>
    <t>MPPRFIPRO-KIL</t>
  </si>
  <si>
    <t xml:space="preserve"> FUNDA IMPRESA PROFESIONAL PRODUCCION X KIL </t>
  </si>
  <si>
    <t>MPPRFITHI-KIL</t>
  </si>
  <si>
    <t>FUNDA IMPRESA PROFESIONAL THICKER X KIL</t>
  </si>
  <si>
    <t>121008090830748</t>
  </si>
  <si>
    <t>MPPRFIRFT-KIL</t>
  </si>
  <si>
    <t>FUNDA IMPRESA RAIZ FORTE G X KIL</t>
  </si>
  <si>
    <t>121228120017588</t>
  </si>
  <si>
    <t>MPINCOCYR-25KIL</t>
  </si>
  <si>
    <t xml:space="preserve">CYROMAZINA 75% WP x 25KIL </t>
  </si>
  <si>
    <t>130717133359323</t>
  </si>
  <si>
    <t>MPINCODIA-200LIT</t>
  </si>
  <si>
    <t>DIAFENTHIURON 25% EC X 200LIT</t>
  </si>
  <si>
    <t>DIAFENTHIURON 25% EC</t>
  </si>
  <si>
    <t>MPPRENCOEC-500CC</t>
  </si>
  <si>
    <t>ENVASE CHINO COEX X 500CC</t>
  </si>
  <si>
    <t>LOCAL</t>
  </si>
  <si>
    <t>140127160953500</t>
  </si>
  <si>
    <t>MPPLINIM+LAM-25KIL</t>
  </si>
  <si>
    <t>IMIDACLOPRID 42%+LAMBDA-CYHALOTHRIN 6%WP X 25KIL</t>
  </si>
  <si>
    <t>140219094547982</t>
  </si>
  <si>
    <t>MPPLFUPRO-200LIT</t>
  </si>
  <si>
    <t>PROCHLORAZ  45% X 200 LIT</t>
  </si>
  <si>
    <t>PROCHLORAZ 45% EC</t>
  </si>
  <si>
    <t>PA-80976</t>
  </si>
  <si>
    <t>NUEVA ZELANDA</t>
  </si>
  <si>
    <t>HILO ELECTROPLASTICO X 200 M</t>
  </si>
  <si>
    <t>CONDUCTORES</t>
  </si>
  <si>
    <t>AGROPECUARIA</t>
  </si>
  <si>
    <t>CERCAS ELECTRICAS</t>
  </si>
  <si>
    <t>PATRIOT</t>
  </si>
  <si>
    <t>MPPLINIM+LAM-150G</t>
  </si>
  <si>
    <t>IMIDACLOPRID + LAM  KENSHI 150G</t>
  </si>
  <si>
    <t>IMIDACLOPRID 42%+LAMBDA-CYHALOTHRIN 6%WP</t>
  </si>
  <si>
    <t>MPACCOAMB-LIT</t>
  </si>
  <si>
    <t xml:space="preserve">ABAMECTIN X LIT </t>
  </si>
  <si>
    <t>Columna1</t>
  </si>
  <si>
    <t>Columna2</t>
  </si>
  <si>
    <t>Columna3</t>
  </si>
  <si>
    <t>Columna4</t>
  </si>
  <si>
    <t>Columna5</t>
  </si>
  <si>
    <t>Columna6</t>
  </si>
  <si>
    <t>SINOCHEM 68</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</si>
</sst>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2" formatCode="_(&quot;Q&quot;* #,##0.00_);_(&quot;Q&quot;* \(#,##0.00\);_(&quot;Q&quot;* &quot;-&quot;??_);_(@_)"/>
  </numFmts>
  <fonts count="15"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theme="1"/>
      <name val="Calibri"/>
      <family val="2"/>
      <scheme val="minor"/>
    </font>
    <font>
      <sz val="11"/>
      <color theme="1"/>
      <name val="Calibri"/>
      <scheme val="minor"/>
    </font>
    <font>
      <b/>
      <sz val="11"/>
      <color indexed="8"/>
      <name val="Calibri"/>
      <family val="2"/>
    </font>
  </fonts>
  <fills count="11">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s>
  <borders count="12">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2"/>
      </top>
      <bottom style="double">
        <color indexed="62"/>
      </bottom>
      <diagonal/>
    </border>
  </borders>
  <cellStyleXfs count="12">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xf numFmtId="172" fontId="9" fillId="0" borderId="0" applyFont="0" applyFill="0" applyBorder="0" applyAlignment="0" applyProtection="0"/>
    <xf numFmtId="0" fontId="14" fillId="0" borderId="11" applyNumberFormat="0" applyFill="0" applyAlignment="0" applyProtection="0"/>
    <xf numFmtId="0" fontId="9" fillId="0" borderId="0"/>
    <xf numFmtId="0" fontId="9" fillId="0" borderId="0"/>
  </cellStyleXfs>
  <cellXfs count="72">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14" fontId="0" fillId="0" borderId="0" xfId="0" applyNumberFormat="1"/>
    <xf numFmtId="0" fontId="12" fillId="0" borderId="0" xfId="0" applyFon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3" fillId="0" borderId="0" xfId="0" applyFont="1" applyAlignment="1" applyProtection="1">
      <alignment horizontal="center"/>
      <protection locked="0"/>
    </xf>
    <xf numFmtId="0" fontId="0" fillId="0" borderId="0" xfId="0" applyProtection="1">
      <protection locked="0"/>
    </xf>
    <xf numFmtId="0" fontId="11" fillId="0" borderId="0" xfId="0" applyFont="1"/>
    <xf numFmtId="4" fontId="0" fillId="0" borderId="0" xfId="0" applyNumberFormat="1" applyFont="1"/>
    <xf numFmtId="2" fontId="0" fillId="0" borderId="0" xfId="0" applyNumberFormat="1" applyFont="1"/>
    <xf numFmtId="0" fontId="0" fillId="0" borderId="0" xfId="0" applyFont="1"/>
    <xf numFmtId="0" fontId="11" fillId="0" borderId="0" xfId="0" applyFont="1"/>
    <xf numFmtId="4" fontId="0" fillId="0" borderId="0" xfId="0" applyNumberFormat="1" applyFont="1"/>
    <xf numFmtId="2" fontId="0" fillId="0" borderId="0" xfId="0" applyNumberFormat="1" applyFont="1"/>
    <xf numFmtId="0" fontId="0" fillId="0" borderId="0" xfId="0" applyFont="1"/>
    <xf numFmtId="0" fontId="11" fillId="0" borderId="0" xfId="0" applyFont="1"/>
    <xf numFmtId="4" fontId="0" fillId="0" borderId="0" xfId="0" applyNumberFormat="1" applyFont="1"/>
    <xf numFmtId="2" fontId="0" fillId="0" borderId="0" xfId="0" applyNumberFormat="1" applyFont="1"/>
    <xf numFmtId="0" fontId="0" fillId="0" borderId="0" xfId="0" applyFont="1"/>
  </cellXfs>
  <cellStyles count="12">
    <cellStyle name="Cancel" xfId="3"/>
    <cellStyle name="Cancel 2" xfId="6"/>
    <cellStyle name="Cancel_Empresa" xfId="7"/>
    <cellStyle name="Hipervínculo" xfId="1" builtinId="8"/>
    <cellStyle name="Moneda 2" xfId="8"/>
    <cellStyle name="Normal" xfId="0" builtinId="0"/>
    <cellStyle name="Normal 10" xfId="11"/>
    <cellStyle name="Normal 2" xfId="2"/>
    <cellStyle name="Normal 2 2" xfId="4"/>
    <cellStyle name="Normal 3" xfId="5"/>
    <cellStyle name="Normal 4" xfId="10"/>
    <cellStyle name="Total 2" xfId="9"/>
  </cellStyles>
  <dxfs count="112">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9" formatCode="m/d/yyyy"/>
    </dxf>
    <dxf>
      <numFmt numFmtId="19" formatCode="m/d/yyyy"/>
    </dxf>
    <dxf>
      <numFmt numFmtId="19"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19" formatCode="m/d/yyyy"/>
    </dxf>
    <dxf>
      <numFmt numFmtId="19" formatCode="m/d/yyyy"/>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3.emf"/><Relationship Id="rId2" Type="http://schemas.openxmlformats.org/officeDocument/2006/relationships/image" Target="../media/image13.emf"/><Relationship Id="rId16" Type="http://schemas.openxmlformats.org/officeDocument/2006/relationships/image" Target="../media/image19.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6.emf"/><Relationship Id="rId5" Type="http://schemas.openxmlformats.org/officeDocument/2006/relationships/image" Target="../media/image15.emf"/><Relationship Id="rId15" Type="http://schemas.openxmlformats.org/officeDocument/2006/relationships/image" Target="../media/image18.emf"/><Relationship Id="rId10" Type="http://schemas.openxmlformats.org/officeDocument/2006/relationships/image" Target="../media/image17.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228600</xdr:colOff>
          <xdr:row>0</xdr:row>
          <xdr:rowOff>276225</xdr:rowOff>
        </xdr:from>
        <xdr:to>
          <xdr:col>4</xdr:col>
          <xdr:colOff>885825</xdr:colOff>
          <xdr:row>2</xdr:row>
          <xdr:rowOff>38100</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xdr:colOff>
          <xdr:row>2</xdr:row>
          <xdr:rowOff>66675</xdr:rowOff>
        </xdr:from>
        <xdr:to>
          <xdr:col>4</xdr:col>
          <xdr:colOff>904875</xdr:colOff>
          <xdr:row>3</xdr:row>
          <xdr:rowOff>142875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323850</xdr:colOff>
          <xdr:row>0</xdr:row>
          <xdr:rowOff>276225</xdr:rowOff>
        </xdr:from>
        <xdr:to>
          <xdr:col>4</xdr:col>
          <xdr:colOff>1371600</xdr:colOff>
          <xdr:row>2</xdr:row>
          <xdr:rowOff>38100</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2924175</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19050</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581025</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1</xdr:row>
          <xdr:rowOff>0</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xdr:colOff>
          <xdr:row>0</xdr:row>
          <xdr:rowOff>276225</xdr:rowOff>
        </xdr:from>
        <xdr:to>
          <xdr:col>4</xdr:col>
          <xdr:colOff>1152525</xdr:colOff>
          <xdr:row>2</xdr:row>
          <xdr:rowOff>38100</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1085850</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0</xdr:row>
          <xdr:rowOff>28575</xdr:rowOff>
        </xdr:from>
        <xdr:to>
          <xdr:col>0</xdr:col>
          <xdr:colOff>533400</xdr:colOff>
          <xdr:row>0</xdr:row>
          <xdr:rowOff>295275</xdr:rowOff>
        </xdr:to>
        <xdr:sp macro="" textlink="">
          <xdr:nvSpPr>
            <xdr:cNvPr id="1076" name="cmdConsumo" hidden="1">
              <a:extLst>
                <a:ext uri="{63B3BB69-23CF-44E3-9099-C40C66FF867C}">
                  <a14:compatExt spid="_x0000_s1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7"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V21" totalsRowShown="0" headerRowDxfId="111">
  <autoFilter ref="A8:BV21"/>
  <tableColumns count="74">
    <tableColumn id="1" name="CODIGO" dataDxfId="110"/>
    <tableColumn id="2" name="DESCRIPCION" dataDxfId="10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0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0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0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0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0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0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0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0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0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9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9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9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9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9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9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9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9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9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9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8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8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8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8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8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31" name="INV FISICO" dataDxfId="84">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83">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82">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81">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80">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79">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78">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77">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76">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75">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74">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73">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72">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71">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70">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69">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68">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67">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66">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65">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4" name="Columna1" dataDxfId="64">
      <calculatedColumnFormula array="1">IFERROR(INDEX(Datos_Consumo[CANTIDAD],MATCH(TABLATRANSFERENCIA[[#This Row],[CODIGO]]&amp;TABLATRANSFERENCIA[[#Headers],[Columna1]],Datos_Consumo[CODIGO]&amp;Datos_Consumo[FECHA_FORMATO],0)),0)</calculatedColumnFormula>
    </tableColumn>
    <tableColumn id="63" name="Columna2" dataDxfId="63">
      <calculatedColumnFormula array="1">IFERROR(INDEX(Datos_Consumo[CANTIDAD],MATCH(TABLATRANSFERENCIA[[#This Row],[CODIGO]]&amp;TABLATRANSFERENCIA[[#Headers],[Columna2]],Datos_Consumo[CODIGO]&amp;Datos_Consumo[FECHA_FORMATO],0)),0)</calculatedColumnFormula>
    </tableColumn>
    <tableColumn id="62" name="Columna3" dataDxfId="62">
      <calculatedColumnFormula array="1">IFERROR(INDEX(Datos_Consumo[CANTIDAD],MATCH(TABLATRANSFERENCIA[[#This Row],[CODIGO]]&amp;TABLATRANSFERENCIA[[#Headers],[Columna3]],Datos_Consumo[CODIGO]&amp;Datos_Consumo[FECHA_FORMATO],0)),0)</calculatedColumnFormula>
    </tableColumn>
    <tableColumn id="61" name="Columna4" dataDxfId="61">
      <calculatedColumnFormula array="1">IFERROR(INDEX(Datos_Consumo[CANTIDAD],MATCH(TABLATRANSFERENCIA[[#This Row],[CODIGO]]&amp;TABLATRANSFERENCIA[[#Headers],[Columna4]],Datos_Consumo[CODIGO]&amp;Datos_Consumo[FECHA_FORMATO],0)),0)</calculatedColumnFormula>
    </tableColumn>
    <tableColumn id="60" name="Columna5" dataDxfId="60">
      <calculatedColumnFormula array="1">IFERROR(INDEX(Datos_Consumo[CANTIDAD],MATCH(TABLATRANSFERENCIA[[#This Row],[CODIGO]]&amp;TABLATRANSFERENCIA[[#Headers],[Columna5]],Datos_Consumo[CODIGO]&amp;Datos_Consumo[FECHA_FORMATO],0)),0)</calculatedColumnFormula>
    </tableColumn>
    <tableColumn id="59" name="Columna6" dataDxfId="59">
      <calculatedColumnFormula array="1">IFERROR(INDEX(Datos_Consumo[CANTIDAD],MATCH(TABLATRANSFERENCIA[[#This Row],[CODIGO]]&amp;TABLATRANSFERENCIA[[#Headers],[Columna6]],Datos_Consumo[CODIGO]&amp;Datos_Consumo[FECHA_FORMATO],0)),0)</calculatedColumnFormula>
    </tableColumn>
    <tableColumn id="67" name="ULT TRANSFER INI" dataDxfId="5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5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8" name="REQUERIM" dataDxfId="56"/>
    <tableColumn id="13" name="REQ TOTAL" dataDxfId="55"/>
    <tableColumn id="66" name="EMBARQUES" dataDxfId="54"/>
    <tableColumn id="69" name="Emb1" dataDxfId="53">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52">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51">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50">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49">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48"/>
    <tableColumn id="44" name="TAMAÑO RELATIVO" dataDxfId="47">
      <calculatedColumnFormula>IFERROR(TABLATRANSFERENCIA[[#This Row],[REQUERIM]]/TABLATRANSFERENCIA[[#This Row],[PEDIDO PROMEDIO]],0)</calculatedColumnFormula>
    </tableColumn>
    <tableColumn id="9" name="DESPACHO" dataDxfId="46"/>
    <tableColumn id="10" name="RECIBIDO" dataDxfId="45"/>
    <tableColumn id="11" name="TRANSITO" dataDxfId="44">
      <calculatedColumnFormula>IF(TABLATRANSFERENCIA[[#This Row],[RECIBIDO]]&lt;&gt;"",0,IF(TABLATRANSFERENCIA[[#This Row],[DESPACHO]]&lt;&gt;"",TABLATRANSFERENCIA[[#This Row],[DESPACHO]],TABLATRANSFERENCIA[[#This Row],[REQUERIM]]))</calculatedColumnFormula>
    </tableColumn>
    <tableColumn id="16" name="OBSERVACIONES DESPACHOS" dataDxfId="43"/>
    <tableColumn id="17" name="OBSERVACIONES RECEPCIONES" dataDxfId="42"/>
    <tableColumn id="18" name="TIPO TRANSF" dataDxfId="41">
      <calculatedColumnFormula>"N"</calculatedColumnFormula>
    </tableColumn>
    <tableColumn id="35" name="Error Pedid Min Grupo" dataDxfId="40">
      <calculatedColumnFormula array="1">IF(SUM(--(TABLATRANSFERENCIA[[#This Row],[CODIGO GENERICO]]=TABLATRANSFERENCIA[CODIGO GENERICO])*TABLATRANSFERENCIA[REQUERIM])&lt;TABLATRANSFERENCIA[[#This Row],[PEDIDO MIN GRUPO]],1,0)</calculatedColumnFormula>
    </tableColumn>
    <tableColumn id="56" name="Color Proyectado" dataDxfId="39">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38">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37">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9"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36"/>
  </tableColumns>
  <tableStyleInfo name="TableStyleMedium9" showFirstColumn="0" showLastColumn="0" showRowStripes="1" showColumnStripes="0"/>
</table>
</file>

<file path=xl/tables/table3.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4.xml><?xml version="1.0" encoding="utf-8"?>
<table xmlns="http://schemas.openxmlformats.org/spreadsheetml/2006/main" id="11" name="Tabla_Path_Codigo_Nueva" displayName="Tabla_Path_Codigo_Nueva" ref="K1:N9" tableType="queryTable" totalsRowShown="0">
  <autoFilter ref="K1:N9"/>
  <tableColumns count="4">
    <tableColumn id="2" uniqueName="2" name="BODEGA" queryTableFieldId="2"/>
    <tableColumn id="3" uniqueName="3" name="ARCHIVO" queryTableFieldId="3" dataDxfId="35"/>
    <tableColumn id="7" uniqueName="7" name="PATH" queryTableFieldId="7" dataDxfId="34"/>
    <tableColumn id="5" uniqueName="5" name="COMPLETO" queryTableFieldId="5" dataDxfId="33">
      <calculatedColumnFormula>Tabla_Path_Codigo_Nueva[PATH]&amp;"\"&amp;Tabla_Path_Codigo_Nueva[ARCHIVO]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3" name="tbl_Datos_Empresa" displayName="tbl_Datos_Empresa" ref="Q1:R2" tableType="queryTable" totalsRowShown="0">
  <autoFilter ref="Q1:R2"/>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6.xml><?xml version="1.0" encoding="utf-8"?>
<table xmlns="http://schemas.openxmlformats.org/spreadsheetml/2006/main" id="12" name="tbl_Datos_Bodega" displayName="tbl_Datos_Bodega" ref="T1:W54" tableType="queryTable" totalsRowShown="0">
  <autoFilter ref="T1:W54"/>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7.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32"/>
  </tableColumns>
  <tableStyleInfo name="TableStyleMedium9" showFirstColumn="0" showLastColumn="0" showRowStripes="1" showColumnStripes="0"/>
</table>
</file>

<file path=xl/tables/table8.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31">
      <calculatedColumnFormula>IFERROR(MATCH(Tabla_Recetas[[#This Row],[Cod Padre]],TABLATRANSFERENCIA[CODIGO],0),0)</calculatedColumnFormula>
    </tableColumn>
    <tableColumn id="12" uniqueName="12" name="Cantidad Requerida" queryTableFieldId="12" dataDxfId="30">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0.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1.xml><?xml version="1.0" encoding="utf-8"?>
<table xmlns="http://schemas.openxmlformats.org/spreadsheetml/2006/main" id="8" name="Tabla_Impresion_Requerimientos" displayName="Tabla_Impresion_Requerimientos" ref="A5:D6" insertRow="1" totalsRowShown="0" headerRowDxfId="29">
  <autoFilter ref="A5:D6"/>
  <tableColumns count="4">
    <tableColumn id="1" name="CÓDIGO"/>
    <tableColumn id="2" name="DESCRIPCIÓN"/>
    <tableColumn id="3" name="CANTIDAD" dataDxfId="28"/>
    <tableColumn id="4" name="CUMPLIMIENTO"/>
  </tableColumns>
  <tableStyleInfo name="TableStyleLight15" showFirstColumn="0" showLastColumn="0" showRowStripes="0" showColumnStripes="0"/>
</table>
</file>

<file path=xl/tables/table12.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27"/>
    <tableColumn id="109" name="con_ultima_transferencia_ini" dataDxfId="26"/>
    <tableColumn id="110" name="con_ultima_transferencia_fin" dataDxfId="25"/>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3.xml><?xml version="1.0" encoding="utf-8"?>
<table xmlns="http://schemas.openxmlformats.org/spreadsheetml/2006/main" id="13" name="Datos_Consumo" displayName="Datos_Consumo" ref="A1:D2" insertRow="1" totalsRowShown="0">
  <autoFilter ref="A1:D2"/>
  <tableColumns count="4">
    <tableColumn id="1" name="CODIGO"/>
    <tableColumn id="2" name="CANTIDAD"/>
    <tableColumn id="3" name="FECHA"/>
    <tableColumn id="4" name="FECHA_FORMATO" dataDxfId="24">
      <calculatedColumnFormula>YEAR(Datos_Consumo[[#This Row],[FECHA]])&amp;"-"&amp;MONTH(Datos_Consumo[[#This Row],[FECHA]])</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Fecha_Consumo" displayName="Fecha_Consumo" ref="F1:G2" insertRow="1" totalsRowShown="0">
  <autoFilter ref="F1:G2"/>
  <tableColumns count="2">
    <tableColumn id="1" name="FECHAS_CONSUMO"/>
    <tableColumn id="2" name="FECHA_FORMATO" dataDxfId="23">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image" Target="../media/image11.emf"/><Relationship Id="rId39" Type="http://schemas.openxmlformats.org/officeDocument/2006/relationships/control" Target="../activeX/activeX19.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image" Target="../media/image15.emf"/><Relationship Id="rId42" Type="http://schemas.openxmlformats.org/officeDocument/2006/relationships/image" Target="../media/image1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41" Type="http://schemas.openxmlformats.org/officeDocument/2006/relationships/control" Target="../activeX/activeX2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8.xml"/><Relationship Id="rId40" Type="http://schemas.openxmlformats.org/officeDocument/2006/relationships/image" Target="../media/image18.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4"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 Id="rId4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0.emf"/><Relationship Id="rId5" Type="http://schemas.openxmlformats.org/officeDocument/2006/relationships/control" Target="../activeX/activeX21.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3.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3.xml"/><Relationship Id="rId5" Type="http://schemas.openxmlformats.org/officeDocument/2006/relationships/image" Target="../media/image21.emf"/><Relationship Id="rId4" Type="http://schemas.openxmlformats.org/officeDocument/2006/relationships/control" Target="../activeX/activeX2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V21"/>
  <sheetViews>
    <sheetView showGridLines="0" tabSelected="1" zoomScale="80" zoomScaleNormal="80" workbookViewId="0">
      <pane xSplit="2" ySplit="8" topLeftCell="C9" activePane="bottomRight" state="frozen"/>
      <selection pane="topRight" activeCell="C1" sqref="C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14" width="20.7109375" customWidth="1"/>
    <col min="15" max="20" width="10.7109375" customWidth="1"/>
    <col min="21" max="21" width="15.140625" customWidth="1"/>
    <col min="22" max="23" width="25.7109375" customWidth="1"/>
    <col min="24" max="25" width="12" customWidth="1"/>
    <col min="26" max="26" width="16.42578125" customWidth="1"/>
    <col min="27" max="27" width="11.42578125" customWidth="1"/>
    <col min="28" max="29" width="13.28515625" customWidth="1"/>
    <col min="30" max="34" width="11.42578125" customWidth="1"/>
    <col min="35" max="35" width="13.42578125" customWidth="1"/>
    <col min="36" max="36" width="13.140625" customWidth="1"/>
    <col min="37" max="37" width="15.28515625" customWidth="1"/>
    <col min="38" max="38" width="14.85546875" customWidth="1"/>
    <col min="39" max="39" width="11.42578125" customWidth="1"/>
    <col min="40" max="40" width="13.5703125" customWidth="1"/>
    <col min="41" max="41" width="11.42578125" customWidth="1"/>
    <col min="42" max="52" width="13.140625" customWidth="1"/>
    <col min="53" max="62" width="15.7109375" customWidth="1"/>
    <col min="63" max="63" width="30" customWidth="1"/>
    <col min="64" max="64" width="11.42578125" customWidth="1"/>
    <col min="65" max="65" width="16" customWidth="1"/>
    <col min="66" max="66" width="17.7109375" customWidth="1"/>
    <col min="67" max="67" width="16" hidden="1" customWidth="1"/>
    <col min="68" max="68" width="31" customWidth="1"/>
    <col min="69" max="69" width="33.7109375" customWidth="1"/>
    <col min="70" max="74" width="11.42578125" hidden="1" customWidth="1"/>
  </cols>
  <sheetData>
    <row r="1" spans="1:74" ht="24.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row>
    <row r="2" spans="1:74" x14ac:dyDescent="0.25">
      <c r="A2" s="17" t="s">
        <v>12</v>
      </c>
      <c r="B2" s="18">
        <v>75</v>
      </c>
      <c r="C2" s="19" t="s">
        <v>0</v>
      </c>
      <c r="D2" s="20">
        <v>42331</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row>
    <row r="3" spans="1:74" x14ac:dyDescent="0.25">
      <c r="A3" s="21" t="s">
        <v>2</v>
      </c>
      <c r="B3" s="22" t="s">
        <v>1268</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row>
    <row r="4" spans="1:74" x14ac:dyDescent="0.25">
      <c r="A4" s="21" t="s">
        <v>3</v>
      </c>
      <c r="B4" s="25" t="s">
        <v>613</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row>
    <row r="5" spans="1:74" x14ac:dyDescent="0.25">
      <c r="A5" s="21" t="s">
        <v>24</v>
      </c>
      <c r="B5" s="28" t="s">
        <v>1542</v>
      </c>
      <c r="C5" s="23" t="s">
        <v>23</v>
      </c>
      <c r="D5" s="29">
        <f ca="1">IFERROR(SUMPRODUCT(TABLATRANSFERENCIA[CTV],TABLATRANSFERENCIA[TRANSITO]),"")</f>
        <v>106332.88</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row>
    <row r="6" spans="1:74" ht="17.25" x14ac:dyDescent="0.25">
      <c r="A6" s="21" t="s">
        <v>25</v>
      </c>
      <c r="B6" s="24">
        <v>42358</v>
      </c>
      <c r="C6" s="23" t="s">
        <v>26</v>
      </c>
      <c r="D6" s="30">
        <f>IFERROR(SUMPRODUCT(Tabla_CubicajeAgrota[VOL],Tabla_CubicajeAgrota[CANTIDAD]),0)</f>
        <v>0</v>
      </c>
      <c r="E6" s="37" t="s">
        <v>30</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row>
    <row r="7" spans="1:74" x14ac:dyDescent="0.25">
      <c r="A7" s="31" t="s">
        <v>838</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row>
    <row r="8" spans="1:74" ht="45.75" customHeight="1" x14ac:dyDescent="0.25">
      <c r="A8" s="48" t="s">
        <v>27</v>
      </c>
      <c r="B8" s="48" t="s">
        <v>852</v>
      </c>
      <c r="C8" s="48" t="s">
        <v>912</v>
      </c>
      <c r="D8" s="48" t="s">
        <v>1023</v>
      </c>
      <c r="E8" s="48" t="s">
        <v>895</v>
      </c>
      <c r="F8" s="48" t="s">
        <v>906</v>
      </c>
      <c r="G8" s="48" t="s">
        <v>894</v>
      </c>
      <c r="H8" s="48" t="s">
        <v>887</v>
      </c>
      <c r="I8" s="48" t="s">
        <v>888</v>
      </c>
      <c r="J8" s="48" t="s">
        <v>889</v>
      </c>
      <c r="K8" s="48" t="s">
        <v>890</v>
      </c>
      <c r="L8" s="48" t="s">
        <v>891</v>
      </c>
      <c r="M8" s="48" t="s">
        <v>892</v>
      </c>
      <c r="N8" s="48" t="s">
        <v>893</v>
      </c>
      <c r="O8" s="43" t="s">
        <v>1149</v>
      </c>
      <c r="P8" s="43" t="s">
        <v>18</v>
      </c>
      <c r="Q8" s="43" t="s">
        <v>19</v>
      </c>
      <c r="R8" s="43" t="s">
        <v>10</v>
      </c>
      <c r="S8" s="43" t="s">
        <v>983</v>
      </c>
      <c r="T8" s="43" t="s">
        <v>38</v>
      </c>
      <c r="U8" s="43" t="s">
        <v>39</v>
      </c>
      <c r="V8" s="43" t="s">
        <v>845</v>
      </c>
      <c r="W8" s="43" t="s">
        <v>911</v>
      </c>
      <c r="X8" s="43" t="s">
        <v>1030</v>
      </c>
      <c r="Y8" s="43" t="s">
        <v>1031</v>
      </c>
      <c r="Z8" s="45" t="s">
        <v>8</v>
      </c>
      <c r="AA8" s="45" t="s">
        <v>907</v>
      </c>
      <c r="AB8" s="45" t="s">
        <v>9</v>
      </c>
      <c r="AC8" s="45" t="s">
        <v>980</v>
      </c>
      <c r="AD8" s="45" t="s">
        <v>910</v>
      </c>
      <c r="AE8" s="45" t="s">
        <v>919</v>
      </c>
      <c r="AF8" s="45" t="s">
        <v>920</v>
      </c>
      <c r="AG8" s="45" t="s">
        <v>921</v>
      </c>
      <c r="AH8" s="45" t="s">
        <v>908</v>
      </c>
      <c r="AI8" s="45" t="s">
        <v>909</v>
      </c>
      <c r="AJ8" s="45" t="s">
        <v>916</v>
      </c>
      <c r="AK8" s="45" t="s">
        <v>976</v>
      </c>
      <c r="AL8" s="45" t="s">
        <v>981</v>
      </c>
      <c r="AM8" s="45" t="s">
        <v>913</v>
      </c>
      <c r="AN8" s="45" t="s">
        <v>914</v>
      </c>
      <c r="AO8" s="45" t="s">
        <v>917</v>
      </c>
      <c r="AP8" s="44" t="s">
        <v>915</v>
      </c>
      <c r="AQ8" s="45" t="s">
        <v>977</v>
      </c>
      <c r="AR8" s="45" t="s">
        <v>978</v>
      </c>
      <c r="AS8" s="45" t="s">
        <v>979</v>
      </c>
      <c r="AT8" s="45" t="s">
        <v>982</v>
      </c>
      <c r="AU8" s="52" t="s">
        <v>1536</v>
      </c>
      <c r="AV8" s="52" t="s">
        <v>1537</v>
      </c>
      <c r="AW8" s="52" t="s">
        <v>1538</v>
      </c>
      <c r="AX8" s="52" t="s">
        <v>1539</v>
      </c>
      <c r="AY8" s="52" t="s">
        <v>1540</v>
      </c>
      <c r="AZ8" s="52" t="s">
        <v>1541</v>
      </c>
      <c r="BA8" s="44" t="s">
        <v>1150</v>
      </c>
      <c r="BB8" s="44" t="s">
        <v>1151</v>
      </c>
      <c r="BC8" s="44" t="s">
        <v>11</v>
      </c>
      <c r="BD8" s="44" t="s">
        <v>17</v>
      </c>
      <c r="BE8" s="57" t="s">
        <v>1157</v>
      </c>
      <c r="BF8" s="56" t="s">
        <v>1158</v>
      </c>
      <c r="BG8" s="56" t="s">
        <v>1159</v>
      </c>
      <c r="BH8" s="56" t="s">
        <v>1160</v>
      </c>
      <c r="BI8" s="56" t="s">
        <v>1161</v>
      </c>
      <c r="BJ8" s="56" t="s">
        <v>1162</v>
      </c>
      <c r="BK8" s="44" t="s">
        <v>1163</v>
      </c>
      <c r="BL8" s="45" t="s">
        <v>922</v>
      </c>
      <c r="BM8" s="44" t="s">
        <v>13</v>
      </c>
      <c r="BN8" s="44" t="s">
        <v>14</v>
      </c>
      <c r="BO8" s="40" t="s">
        <v>15</v>
      </c>
      <c r="BP8" s="39" t="s">
        <v>20</v>
      </c>
      <c r="BQ8" s="39" t="s">
        <v>21</v>
      </c>
      <c r="BR8" s="39" t="s">
        <v>22</v>
      </c>
      <c r="BS8" s="42" t="s">
        <v>918</v>
      </c>
      <c r="BT8" s="42" t="s">
        <v>1035</v>
      </c>
      <c r="BU8" s="42" t="s">
        <v>1036</v>
      </c>
      <c r="BV8" s="42" t="s">
        <v>1037</v>
      </c>
    </row>
    <row r="9" spans="1:74" x14ac:dyDescent="0.25">
      <c r="A9" s="59" t="s">
        <v>1289</v>
      </c>
      <c r="B9" s="3" t="str">
        <f ca="1">IFERROR(INDEX(OFFSET(INDIRECT("v_buffer_hist_hoy!$A$1"),1,MATCH("pro_descripcion",INDIRECT("v_buffer_hist_hoy!$1:$1"),0)-1,100000,1),MATCH(CLEAN(TABLATRANSFERENCIA[[#This Row],[CODIGO]]),OFFSET(INDIRECT("v_buffer_hist_hoy!$A$1"),1,MATCH("buh_codigo",INDIRECT("v_buffer_hist_hoy!$1:$1"),0)-1,100000,1),0)),"")</f>
        <v xml:space="preserve">CARBENDAZIM 50% WP x 500G </v>
      </c>
      <c r="C9" s="3" t="str">
        <f ca="1">IFERROR(INDEX(OFFSET(INDIRECT("v_buffer_hist_hoy!$A$1"),1,MATCH("buh_codigo_generico",INDIRECT("v_buffer_hist_hoy!$1:$1"),0)-1,100000,1),MATCH(CLEAN(TABLATRANSFERENCIA[[#This Row],[CODIGO]]),OFFSET(INDIRECT("v_buffer_hist_hoy!$A$1"),1,MATCH("buh_codigo",INDIRECT("v_buffer_hist_hoy!$1:$1"),0)-1,100000,1),0)),"")</f>
        <v>0</v>
      </c>
      <c r="D9" s="3" t="str">
        <f ca="1">IFERROR(INDEX(OFFSET(INDIRECT("v_buffer_hist_hoy!$A$1"),1,MATCH("buh_codigo_vinculado",INDIRECT("v_buffer_hist_hoy!$1:$1"),0)-1,100000,1),MATCH(CLEAN(TABLATRANSFERENCIA[[#This Row],[CODIGO]]),OFFSET(INDIRECT("v_buffer_hist_hoy!$A$1"),1,MATCH("buh_codigo",INDIRECT("v_buffer_hist_hoy!$1:$1"),0)-1,100000,1),0)),"")</f>
        <v>MPFUCOCBZ-500G</v>
      </c>
      <c r="E9" s="3" t="str">
        <f ca="1">IFERROR(INDEX(OFFSET(INDIRECT("v_buffer_hist_hoy!$A$1"),1,MATCH("pro_linea",INDIRECT("v_buffer_hist_hoy!$1:$1"),0)-1,100000,1),MATCH(CLEAN(TABLATRANSFERENCIA[[#This Row],[CODIGO]]),OFFSET(INDIRECT("v_buffer_hist_hoy!$A$1"),1,MATCH("buh_codigo",INDIRECT("v_buffer_hist_hoy!$1:$1"),0)-1,100000,1),0)),"")</f>
        <v>PLAGUICIDAS CONVENCIONALES</v>
      </c>
      <c r="F9" s="3">
        <f ca="1">IFERROR(INDEX(OFFSET(INDIRECT("v_buffer_hist_hoy!$A$1"),1,MATCH("pro_sublinea",INDIRECT("v_buffer_hist_hoy!$1:$1"),0)-1,100000,1),MATCH(CLEAN(TABLATRANSFERENCIA[[#This Row],[CODIGO]]),OFFSET(INDIRECT("v_buffer_hist_hoy!$A$1"),1,MATCH("buh_codigo",INDIRECT("v_buffer_hist_hoy!$1:$1"),0)-1,100000,1),0)),"")</f>
        <v>0</v>
      </c>
      <c r="G9" s="3" t="str">
        <f ca="1">IFERROR(INDEX(OFFSET(INDIRECT("v_buffer_hist_hoy!$A$1"),1,MATCH("pro_grupo",INDIRECT("v_buffer_hist_hoy!$1:$1"),0)-1,100000,1),MATCH(CLEAN(TABLATRANSFERENCIA[[#This Row],[CODIGO]]),OFFSET(INDIRECT("v_buffer_hist_hoy!$A$1"),1,MATCH("buh_codigo",INDIRECT("v_buffer_hist_hoy!$1:$1"),0)-1,100000,1),0)),"")</f>
        <v>CARBENDAZIM 50% WP</v>
      </c>
      <c r="H9" s="3">
        <f ca="1">IFERROR(INDEX(OFFSET(INDIRECT("v_buffer_hist_hoy!$A$1"),1,MATCH("pro_familia",INDIRECT("v_buffer_hist_hoy!$1:$1"),0)-1,100000,1),MATCH(CLEAN(TABLATRANSFERENCIA[[#This Row],[CODIGO]]),OFFSET(INDIRECT("v_buffer_hist_hoy!$A$1"),1,MATCH("buh_codigo",INDIRECT("v_buffer_hist_hoy!$1:$1"),0)-1,100000,1),0)),"")</f>
        <v>0</v>
      </c>
      <c r="I9" s="3">
        <f ca="1">IFERROR(INDEX(OFFSET(INDIRECT("v_buffer_hist_hoy!$A$1"),1,MATCH("pro_subfamilia",INDIRECT("v_buffer_hist_hoy!$1:$1"),0)-1,100000,1),MATCH(CLEAN(TABLATRANSFERENCIA[[#This Row],[CODIGO]]),OFFSET(INDIRECT("v_buffer_hist_hoy!$A$1"),1,MATCH("buh_codigo",INDIRECT("v_buffer_hist_hoy!$1:$1"),0)-1,100000,1),0)),"")</f>
        <v>0</v>
      </c>
      <c r="J9" s="3" t="str">
        <f ca="1">IFERROR(INDEX(OFFSET(INDIRECT("v_buffer_hist_hoy!$A$1"),1,MATCH("pro_categoria",INDIRECT("v_buffer_hist_hoy!$1:$1"),0)-1,100000,1),MATCH(CLEAN(TABLATRANSFERENCIA[[#This Row],[CODIGO]]),OFFSET(INDIRECT("v_buffer_hist_hoy!$A$1"),1,MATCH("buh_codigo",INDIRECT("v_buffer_hist_hoy!$1:$1"),0)-1,100000,1),0)),"")</f>
        <v>FUNGICIDA</v>
      </c>
      <c r="K9" s="3">
        <f ca="1">IFERROR(INDEX(OFFSET(INDIRECT("v_buffer_hist_hoy!$A$1"),1,MATCH("pro_tipo",INDIRECT("v_buffer_hist_hoy!$1:$1"),0)-1,100000,1),MATCH(CLEAN(TABLATRANSFERENCIA[[#This Row],[CODIGO]]),OFFSET(INDIRECT("v_buffer_hist_hoy!$A$1"),1,MATCH("buh_codigo",INDIRECT("v_buffer_hist_hoy!$1:$1"),0)-1,100000,1),0)),"")</f>
        <v>0</v>
      </c>
      <c r="L9" s="3" t="str">
        <f ca="1">IFERROR(INDEX(OFFSET(INDIRECT("v_buffer_hist_hoy!$A$1"),1,MATCH("pro_marca",INDIRECT("v_buffer_hist_hoy!$1:$1"),0)-1,100000,1),MATCH(CLEAN(TABLATRANSFERENCIA[[#This Row],[CODIGO]]),OFFSET(INDIRECT("v_buffer_hist_hoy!$A$1"),1,MATCH("buh_codigo",INDIRECT("v_buffer_hist_hoy!$1:$1"),0)-1,100000,1),0)),"")</f>
        <v>SINOCHEM</v>
      </c>
      <c r="M9" s="3">
        <f ca="1">IFERROR(INDEX(OFFSET(INDIRECT("v_buffer_hist_hoy!$A$1"),1,MATCH("pro_modelo",INDIRECT("v_buffer_hist_hoy!$1:$1"),0)-1,100000,1),MATCH(CLEAN(TABLATRANSFERENCIA[[#This Row],[CODIGO]]),OFFSET(INDIRECT("v_buffer_hist_hoy!$A$1"),1,MATCH("buh_codigo",INDIRECT("v_buffer_hist_hoy!$1:$1"),0)-1,100000,1),0)),"")</f>
        <v>0</v>
      </c>
      <c r="N9" s="3">
        <f ca="1">IFERROR(INDEX(OFFSET(INDIRECT("v_buffer_hist_hoy!$A$1"),1,MATCH("pro_cat_management",INDIRECT("v_buffer_hist_hoy!$1:$1"),0)-1,100000,1),MATCH(CLEAN(TABLATRANSFERENCIA[[#This Row],[CODIGO]]),OFFSET(INDIRECT("v_buffer_hist_hoy!$A$1"),1,MATCH("buh_codigo",INDIRECT("v_buffer_hist_hoy!$1:$1"),0)-1,100000,1),0)),"")</f>
        <v>0</v>
      </c>
      <c r="O9" s="5" t="str">
        <f ca="1">IFERROR(INDEX(OFFSET(INDIRECT("v_buffer_hist_hoy!$A$1"),1,MATCH("buh_estatus",INDIRECT("v_buffer_hist_hoy!$1:$1"),0)-1,100000,1),MATCH(CLEAN(TABLATRANSFERENCIA[[#This Row],[CODIGO]]),OFFSET(INDIRECT("v_buffer_hist_hoy!$A$1"),1,MATCH("buh_codigo",INDIRECT("v_buffer_hist_hoy!$1:$1"),0)-1,100000,1),0)),"")</f>
        <v>0</v>
      </c>
      <c r="P9" s="5">
        <f ca="1">IFERROR(INDEX(OFFSET(INDIRECT("v_buffer_hist_hoy!$A$1"),1,MATCH("buh_ctv",INDIRECT("v_buffer_hist_hoy!$1:$1"),0)-1,100000,1),MATCH(CLEAN(TABLATRANSFERENCIA[[#This Row],[CODIGO]]),OFFSET(INDIRECT("v_buffer_hist_hoy!$A$1"),1,MATCH("buh_codigo",INDIRECT("v_buffer_hist_hoy!$1:$1"),0)-1,100000,1),0)),"")</f>
        <v>3.1</v>
      </c>
      <c r="Q9" s="5">
        <f ca="1">IFERROR(INDEX(OFFSET(INDIRECT("v_buffer_hist_hoy!$A$1"),1,MATCH("buh_pv",INDIRECT("v_buffer_hist_hoy!$1:$1"),0)-1,100000,1),MATCH(CLEAN(TABLATRANSFERENCIA[[#This Row],[CODIGO]]),OFFSET(INDIRECT("v_buffer_hist_hoy!$A$1"),1,MATCH("buh_codigo",INDIRECT("v_buffer_hist_hoy!$1:$1"),0)-1,100000,1),0)),"")</f>
        <v>0</v>
      </c>
      <c r="R9" s="46">
        <f ca="1">IFERROR(INDEX(OFFSET(INDIRECT("v_buffer_hist_hoy!$A$1"),1,MATCH("buh_roi_pasado",INDIRECT("v_buffer_hist_hoy!$1:$1"),0)-1,100000,1),MATCH(CLEAN(TABLATRANSFERENCIA[[#This Row],[CODIGO]]),OFFSET(INDIRECT("v_buffer_hist_hoy!$A$1"),1,MATCH("buh_codigo",INDIRECT("v_buffer_hist_hoy!$1:$1"),0)-1,100000,1),0)),"")</f>
        <v>0</v>
      </c>
      <c r="S9" s="46">
        <f ca="1">IFERROR(INDEX(OFFSET(INDIRECT("v_buffer_hist_hoy!$A$1"),1,MATCH("buh_roi_proyectado",INDIRECT("v_buffer_hist_hoy!$1:$1"),0)-1,100000,1),MATCH(CLEAN(TABLATRANSFERENCIA[[#This Row],[CODIGO]]),OFFSET(INDIRECT("v_buffer_hist_hoy!$A$1"),1,MATCH("buh_codigo",INDIRECT("v_buffer_hist_hoy!$1:$1"),0)-1,100000,1),0)),"")</f>
        <v>-3</v>
      </c>
      <c r="T9" s="46">
        <f ca="1">IFERROR(INDEX(OFFSET(INDIRECT("v_buffer_hist_hoy!$A$1"),1,MATCH("buh_velocity",INDIRECT("v_buffer_hist_hoy!$1:$1"),0)-1,100000,1),MATCH(CLEAN(TABLATRANSFERENCIA[[#This Row],[CODIGO]]),OFFSET(INDIRECT("v_buffer_hist_hoy!$A$1"),1,MATCH("buh_codigo",INDIRECT("v_buffer_hist_hoy!$1:$1"),0)-1,100000,1),0)),"")</f>
        <v>0</v>
      </c>
      <c r="U9" s="46">
        <f ca="1">IFERROR(INDEX(OFFSET(INDIRECT("v_buffer_hist_hoy!$A$1"),1,MATCH("buh_nivel_servicio",INDIRECT("v_buffer_hist_hoy!$1:$1"),0)-1,100000,1),MATCH(CLEAN(TABLATRANSFERENCIA[[#This Row],[CODIGO]]),OFFSET(INDIRECT("v_buffer_hist_hoy!$A$1"),1,MATCH("buh_codigo",INDIRECT("v_buffer_hist_hoy!$1:$1"),0)-1,100000,1),0)),"")</f>
        <v>1</v>
      </c>
      <c r="V9" s="49" t="str">
        <f ca="1">IFERROR(INDEX(OFFSET(INDIRECT("v_buffer_hist_hoy!$A$1"),1,MATCH("pro_nombre",INDIRECT("v_buffer_hist_hoy!$1:$1"),0)-1,100000,1),MATCH(CLEAN(TABLATRANSFERENCIA[[#This Row],[CODIGO]]),OFFSET(INDIRECT("v_buffer_hist_hoy!$A$1"),1,MATCH("buh_codigo",INDIRECT("v_buffer_hist_hoy!$1:$1"),0)-1,100000,1),0)),"")</f>
        <v>Sinochem</v>
      </c>
      <c r="W9" s="49" t="str">
        <f ca="1">IFERROR(INDEX(OFFSET(INDIRECT("v_buffer_hist_hoy!$A$1"),1,MATCH("pre_nombre",INDIRECT("v_buffer_hist_hoy!$1:$1"),0)-1,100000,1),MATCH(CLEAN(TABLATRANSFERENCIA[[#This Row],[CODIGO]]),OFFSET(INDIRECT("v_buffer_hist_hoy!$A$1"),1,MATCH("buh_codigo",INDIRECT("v_buffer_hist_hoy!$1:$1"),0)-1,100000,1),0)),"")</f>
        <v>CHINA</v>
      </c>
      <c r="X9" s="51">
        <f ca="1">IFERROR(INDEX(OFFSET(INDIRECT("v_buffer_hist_hoy!$A$1"),1,MATCH("buh_tiempo_suministro",INDIRECT("v_buffer_hist_hoy!$1:$1"),0)-1,100000,1),MATCH(CLEAN(TABLATRANSFERENCIA[[#This Row],[CODIGO]]),OFFSET(INDIRECT("v_buffer_hist_hoy!$A$1"),1,MATCH("buh_codigo",INDIRECT("v_buffer_hist_hoy!$1:$1"),0)-1,100000,1),0)),"")</f>
        <v>12</v>
      </c>
      <c r="Y9" s="51">
        <f ca="1">IFERROR(INDEX(OFFSET(INDIRECT("v_buffer_hist_hoy!$A$1"),1,MATCH("buh_frecuencia_reposicion",INDIRECT("v_buffer_hist_hoy!$1:$1"),0)-1,100000,1),MATCH(CLEAN(TABLATRANSFERENCIA[[#This Row],[CODIGO]]),OFFSET(INDIRECT("v_buffer_hist_hoy!$A$1"),1,MATCH("buh_codigo",INDIRECT("v_buffer_hist_hoy!$1:$1"),0)-1,100000,1),0)),"")</f>
        <v>4</v>
      </c>
      <c r="Z9" s="6">
        <f ca="1">IFERROR(INDEX(OFFSET(INDIRECT("v_buffer_hist_hoy!$A$1"),1,MATCH("buh_buffer_actual",INDIRECT("v_buffer_hist_hoy!$1:$1"),0)-1,100000,1),MATCH(CLEAN(TABLATRANSFERENCIA[[#This Row],[CODIGO]]),OFFSET(INDIRECT("v_buffer_hist_hoy!$A$1"),1,MATCH("buh_codigo",INDIRECT("v_buffer_hist_hoy!$1:$1"),0)-1,100000,1),0)),"")</f>
        <v>13300</v>
      </c>
      <c r="AA9" s="6">
        <f ca="1">IFERROR(INDEX(OFFSET(INDIRECT("v_buffer_hist_hoy!$A$1"),1,MATCH("buh_inventario_fisico",INDIRECT("v_buffer_hist_hoy!$1:$1"),0)-1,100000,1),MATCH(CLEAN(TABLATRANSFERENCIA[[#This Row],[CODIGO]]),OFFSET(INDIRECT("v_buffer_hist_hoy!$A$1"),1,MATCH("buh_codigo",INDIRECT("v_buffer_hist_hoy!$1:$1"),0)-1,100000,1),0)),"")</f>
        <v>480</v>
      </c>
      <c r="AB9" s="4">
        <f ca="1">IFERROR(INDEX(OFFSET(INDIRECT("v_buffer_hist_hoy!$A$1"),1,MATCH("buh_estado_inventario_fisico",INDIRECT("v_buffer_hist_hoy!$1:$1"),0)-1,100000,1),MATCH(CLEAN(TABLATRANSFERENCIA[[#This Row],[CODIGO]]),OFFSET(INDIRECT("v_buffer_hist_hoy!$A$1"),1,MATCH("buh_codigo",INDIRECT("v_buffer_hist_hoy!$1:$1"),0)-1,100000,1),0)),"")</f>
        <v>0.96</v>
      </c>
      <c r="AC9" s="6" t="str">
        <f ca="1">IFERROR(INDEX(OFFSET(INDIRECT("v_buffer_hist_hoy!$A$1"),1,MATCH("buh_color_inventario_fisico",INDIRECT("v_buffer_hist_hoy!$1:$1"),0)-1,100000,1),MATCH(CLEAN(TABLATRANSFERENCIA[[#This Row],[CODIGO]]),OFFSET(INDIRECT("v_buffer_hist_hoy!$A$1"),1,MATCH("buh_codigo",INDIRECT("v_buffer_hist_hoy!$1:$1"),0)-1,100000,1),0)),"")</f>
        <v>R</v>
      </c>
      <c r="AD9" s="6">
        <f ca="1">IFERROR(INDEX(OFFSET(INDIRECT("v_buffer_hist_hoy!$A$1"),1,MATCH("buh_transito",INDIRECT("v_buffer_hist_hoy!$1:$1"),0)-1,100000,1),MATCH(CLEAN(TABLATRANSFERENCIA[[#This Row],[CODIGO]]),OFFSET(INDIRECT("v_buffer_hist_hoy!$A$1"),1,MATCH("buh_codigo",INDIRECT("v_buffer_hist_hoy!$1:$1"),0)-1,100000,1),0)),"")</f>
        <v>5000</v>
      </c>
      <c r="AE9" s="6">
        <f ca="1">IFERROR(INDEX(OFFSET(INDIRECT("v_buffer_hist_hoy!$A$1"),1,MATCH("buh_negociacion",INDIRECT("v_buffer_hist_hoy!$1:$1"),0)-1,100000,1),MATCH(CLEAN(TABLATRANSFERENCIA[[#This Row],[CODIGO]]),OFFSET(INDIRECT("v_buffer_hist_hoy!$A$1"),1,MATCH("buh_codigo",INDIRECT("v_buffer_hist_hoy!$1:$1"),0)-1,100000,1),0)),"")</f>
        <v>0</v>
      </c>
      <c r="AF9" s="6">
        <f ca="1">IFERROR(INDEX(OFFSET(INDIRECT("v_buffer_hist_hoy!$A$1"),1,MATCH("buh_produccion",INDIRECT("v_buffer_hist_hoy!$1:$1"),0)-1,100000,1),MATCH(CLEAN(TABLATRANSFERENCIA[[#This Row],[CODIGO]]),OFFSET(INDIRECT("v_buffer_hist_hoy!$A$1"),1,MATCH("buh_codigo",INDIRECT("v_buffer_hist_hoy!$1:$1"),0)-1,100000,1),0)),"")</f>
        <v>0</v>
      </c>
      <c r="AG9" s="6">
        <f ca="1">IFERROR(INDEX(OFFSET(INDIRECT("v_buffer_hist_hoy!$A$1"),1,MATCH("buh_embarcado",INDIRECT("v_buffer_hist_hoy!$1:$1"),0)-1,100000,1),MATCH(CLEAN(TABLATRANSFERENCIA[[#This Row],[CODIGO]]),OFFSET(INDIRECT("v_buffer_hist_hoy!$A$1"),1,MATCH("buh_codigo",INDIRECT("v_buffer_hist_hoy!$1:$1"),0)-1,100000,1),0)),"")</f>
        <v>0</v>
      </c>
      <c r="AH9" s="6">
        <f ca="1">IFERROR(INDEX(OFFSET(INDIRECT("v_buffer_hist_hoy!$A$1"),1,MATCH("buh_comprometido",INDIRECT("v_buffer_hist_hoy!$1:$1"),0)-1,100000,1),MATCH(CLEAN(TABLATRANSFERENCIA[[#This Row],[CODIGO]]),OFFSET(INDIRECT("v_buffer_hist_hoy!$A$1"),1,MATCH("buh_codigo",INDIRECT("v_buffer_hist_hoy!$1:$1"),0)-1,100000,1),0)),"")</f>
        <v>0</v>
      </c>
      <c r="AI9" s="6">
        <f ca="1">IFERROR(INDEX(OFFSET(INDIRECT("v_buffer_hist_hoy!$A$1"),1,MATCH("buh_backorder",INDIRECT("v_buffer_hist_hoy!$1:$1"),0)-1,100000,1),MATCH(CLEAN(TABLATRANSFERENCIA[[#This Row],[CODIGO]]),OFFSET(INDIRECT("v_buffer_hist_hoy!$A$1"),1,MATCH("buh_codigo",INDIRECT("v_buffer_hist_hoy!$1:$1"),0)-1,100000,1),0)),"")</f>
        <v>0</v>
      </c>
      <c r="AJ9" s="6">
        <f ca="1">IFERROR(INDEX(OFFSET(INDIRECT("v_buffer_hist_hoy!$A$1"),1,MATCH("buh_inventario_proyectado",INDIRECT("v_buffer_hist_hoy!$1:$1"),0)-1,100000,1),MATCH(CLEAN(TABLATRANSFERENCIA[[#This Row],[CODIGO]]),OFFSET(INDIRECT("v_buffer_hist_hoy!$A$1"),1,MATCH("buh_codigo",INDIRECT("v_buffer_hist_hoy!$1:$1"),0)-1,100000,1),0)),"")</f>
        <v>5480</v>
      </c>
      <c r="AK9" s="4">
        <f ca="1">IFERROR(INDEX(OFFSET(INDIRECT("v_buffer_hist_hoy!$A$1"),1,MATCH("buh_estado_inventario_proyectado",INDIRECT("v_buffer_hist_hoy!$1:$1"),0)-1,100000,1),MATCH(CLEAN(TABLATRANSFERENCIA[[#This Row],[CODIGO]]),OFFSET(INDIRECT("v_buffer_hist_hoy!$A$1"),1,MATCH("buh_codigo",INDIRECT("v_buffer_hist_hoy!$1:$1"),0)-1,100000,1),0)),"")</f>
        <v>0.59</v>
      </c>
      <c r="AL9" s="6" t="str">
        <f ca="1">IFERROR(INDEX(OFFSET(INDIRECT("v_buffer_hist_hoy!$A$1"),1,MATCH("buh_color_inventario_proyectado",INDIRECT("v_buffer_hist_hoy!$1:$1"),0)-1,100000,1),MATCH(CLEAN(TABLATRANSFERENCIA[[#This Row],[CODIGO]]),OFFSET(INDIRECT("v_buffer_hist_hoy!$A$1"),1,MATCH("buh_codigo",INDIRECT("v_buffer_hist_hoy!$1:$1"),0)-1,100000,1),0)),"")</f>
        <v>A</v>
      </c>
      <c r="AM9" s="6">
        <f ca="1">IFERROR(INDEX(OFFSET(INDIRECT("v_buffer_hist_hoy!$A$1"),1,MATCH("buh_pedido_minimo",INDIRECT("v_buffer_hist_hoy!$1:$1"),0)-1,100000,1),MATCH(CLEAN(TABLATRANSFERENCIA[[#This Row],[CODIGO]]),OFFSET(INDIRECT("v_buffer_hist_hoy!$A$1"),1,MATCH("buh_codigo",INDIRECT("v_buffer_hist_hoy!$1:$1"),0)-1,100000,1),0)),"")</f>
        <v>0</v>
      </c>
      <c r="AN9" s="6">
        <f ca="1">IFERROR(INDEX(OFFSET(INDIRECT("v_buffer_hist_hoy!$A$1"),1,MATCH("buh_pedido_minimo_grupo",INDIRECT("v_buffer_hist_hoy!$1:$1"),0)-1,100000,1),MATCH(CLEAN(TABLATRANSFERENCIA[[#This Row],[CODIGO]]),OFFSET(INDIRECT("v_buffer_hist_hoy!$A$1"),1,MATCH("buh_codigo",INDIRECT("v_buffer_hist_hoy!$1:$1"),0)-1,100000,1),0)),"")</f>
        <v>0</v>
      </c>
      <c r="AO9" s="6">
        <f ca="1">IFERROR(INDEX(OFFSET(INDIRECT("v_buffer_hist_hoy!$A$1"),1,MATCH("buh_unidad_empaque",INDIRECT("v_buffer_hist_hoy!$1:$1"),0)-1,100000,1),MATCH(CLEAN(TABLATRANSFERENCIA[[#This Row],[CODIGO]]),OFFSET(INDIRECT("v_buffer_hist_hoy!$A$1"),1,MATCH("buh_codigo",INDIRECT("v_buffer_hist_hoy!$1:$1"),0)-1,100000,1),0)),"")</f>
        <v>0</v>
      </c>
      <c r="AP9" s="6">
        <f ca="1">IFERROR(INDEX(OFFSET(INDIRECT("v_buffer_hist_hoy!$A$1"),1,MATCH("buh_pedido_promedio",INDIRECT("v_buffer_hist_hoy!$1:$1"),0)-1,100000,1),MATCH(CLEAN(TABLATRANSFERENCIA[[#This Row],[CODIGO]]),OFFSET(INDIRECT("v_buffer_hist_hoy!$A$1"),1,MATCH("buh_codigo",INDIRECT("v_buffer_hist_hoy!$1:$1"),0)-1,100000,1),0)),"")</f>
        <v>3325</v>
      </c>
      <c r="AQ9" s="6">
        <f ca="1">IFERROR(INDEX(OFFSET(INDIRECT("v_buffer_hist_hoy!$A$1"),1,MATCH("buh_cobertura_buffer",INDIRECT("v_buffer_hist_hoy!$1:$1"),0)-1,100000,1),MATCH(CLEAN(TABLATRANSFERENCIA[[#This Row],[CODIGO]]),OFFSET(INDIRECT("v_buffer_hist_hoy!$A$1"),1,MATCH("buh_codigo",INDIRECT("v_buffer_hist_hoy!$1:$1"),0)-1,100000,1),0)),"")</f>
        <v>0</v>
      </c>
      <c r="AR9" s="6">
        <f ca="1">IFERROR(INDEX(OFFSET(INDIRECT("v_buffer_hist_hoy!$A$1"),1,MATCH("buh_cobertura_inventario_proyectado",INDIRECT("v_buffer_hist_hoy!$1:$1"),0)-1,100000,1),MATCH(CLEAN(TABLATRANSFERENCIA[[#This Row],[CODIGO]]),OFFSET(INDIRECT("v_buffer_hist_hoy!$A$1"),1,MATCH("buh_codigo",INDIRECT("v_buffer_hist_hoy!$1:$1"),0)-1,100000,1),0)),"")</f>
        <v>0</v>
      </c>
      <c r="AS9" s="6">
        <f ca="1">IFERROR(INDEX(OFFSET(INDIRECT("v_buffer_hist_hoy!$A$1"),1,MATCH("buh_cobertura_pedido_minimo",INDIRECT("v_buffer_hist_hoy!$1:$1"),0)-1,100000,1),MATCH(CLEAN(TABLATRANSFERENCIA[[#This Row],[CODIGO]]),OFFSET(INDIRECT("v_buffer_hist_hoy!$A$1"),1,MATCH("buh_codigo",INDIRECT("v_buffer_hist_hoy!$1:$1"),0)-1,100000,1),0)),"")</f>
        <v>0</v>
      </c>
      <c r="AT9" s="6">
        <f ca="1">IFERROR(INDEX(OFFSET(INDIRECT("v_buffer_hist_hoy!$A$1"),1,MATCH("buh_dias_desabastecimiento",INDIRECT("v_buffer_hist_hoy!$1:$1"),0)-1,100000,1),MATCH(CLEAN(TABLATRANSFERENCIA[[#This Row],[CODIGO]]),OFFSET(INDIRECT("v_buffer_hist_hoy!$A$1"),1,MATCH("buh_codigo",INDIRECT("v_buffer_hist_hoy!$1:$1"),0)-1,100000,1),0)),"")</f>
        <v>43</v>
      </c>
      <c r="AU9" s="6">
        <f t="array" ref="AU9">IFERROR(INDEX(Datos_Consumo[CANTIDAD],MATCH(TABLATRANSFERENCIA[[#This Row],[CODIGO]]&amp;TABLATRANSFERENCIA[[#Headers],[Columna1]],Datos_Consumo[CODIGO]&amp;Datos_Consumo[FECHA_FORMATO],0)),0)</f>
        <v>0</v>
      </c>
      <c r="AV9" s="6">
        <f t="array" ref="AV9">IFERROR(INDEX(Datos_Consumo[CANTIDAD],MATCH(TABLATRANSFERENCIA[[#This Row],[CODIGO]]&amp;TABLATRANSFERENCIA[[#Headers],[Columna2]],Datos_Consumo[CODIGO]&amp;Datos_Consumo[FECHA_FORMATO],0)),0)</f>
        <v>0</v>
      </c>
      <c r="AW9" s="6">
        <f t="array" ref="AW9">IFERROR(INDEX(Datos_Consumo[CANTIDAD],MATCH(TABLATRANSFERENCIA[[#This Row],[CODIGO]]&amp;TABLATRANSFERENCIA[[#Headers],[Columna3]],Datos_Consumo[CODIGO]&amp;Datos_Consumo[FECHA_FORMATO],0)),0)</f>
        <v>0</v>
      </c>
      <c r="AX9" s="6">
        <f t="array" ref="AX9">IFERROR(INDEX(Datos_Consumo[CANTIDAD],MATCH(TABLATRANSFERENCIA[[#This Row],[CODIGO]]&amp;TABLATRANSFERENCIA[[#Headers],[Columna4]],Datos_Consumo[CODIGO]&amp;Datos_Consumo[FECHA_FORMATO],0)),0)</f>
        <v>0</v>
      </c>
      <c r="AY9" s="6">
        <f t="array" ref="AY9">IFERROR(INDEX(Datos_Consumo[CANTIDAD],MATCH(TABLATRANSFERENCIA[[#This Row],[CODIGO]]&amp;TABLATRANSFERENCIA[[#Headers],[Columna5]],Datos_Consumo[CODIGO]&amp;Datos_Consumo[FECHA_FORMATO],0)),0)</f>
        <v>0</v>
      </c>
      <c r="AZ9" s="6">
        <f t="array" ref="AZ9">IFERROR(INDEX(Datos_Consumo[CANTIDAD],MATCH(TABLATRANSFERENCIA[[#This Row],[CODIGO]]&amp;TABLATRANSFERENCIA[[#Headers],[Columna6]],Datos_Consumo[CODIGO]&amp;Datos_Consumo[FECHA_FORMATO],0)),0)</f>
        <v>0</v>
      </c>
      <c r="BA9" s="54">
        <f ca="1">IFERROR(INDEX(OFFSET(INDIRECT("v_buffer_hist_hoy!$A$1"),1,MATCH("buh_ultima_transferencia_ini",INDIRECT("v_buffer_hist_hoy!$1:$1"),0)-1,100000,1),MATCH(CLEAN(TABLATRANSFERENCIA[[#This Row],[CODIGO]]),OFFSET(INDIRECT("v_buffer_hist_hoy!$A$1"),1,MATCH("buh_codigo",INDIRECT("v_buffer_hist_hoy!$1:$1"),0)-1,100000,1),0)),"")</f>
        <v>0</v>
      </c>
      <c r="BB9" s="54">
        <f ca="1">IFERROR(INDEX(OFFSET(INDIRECT("v_buffer_hist_hoy!$A$1"),1,MATCH("buh_ultima_transferencia_fin",INDIRECT("v_buffer_hist_hoy!$1:$1"),0)-1,100000,1),MATCH(CLEAN(TABLATRANSFERENCIA[[#This Row],[CODIGO]]),OFFSET(INDIRECT("v_buffer_hist_hoy!$A$1"),1,MATCH("buh_codigo",INDIRECT("v_buffer_hist_hoy!$1:$1"),0)-1,100000,1),0)),"")</f>
        <v>0</v>
      </c>
      <c r="BC9" s="61">
        <v>5000</v>
      </c>
      <c r="BD9" s="65">
        <v>5000</v>
      </c>
      <c r="BE9" s="51"/>
      <c r="BF9" s="51">
        <f>IF(RIGHT(TABLATRANSFERENCIA[[#Headers],[Emb1]],1)*1&lt;=TABLATRANSFERENCIA[[#This Row],[EMBARQUES]],IF(ISBLANK(TABLATRANSFERENCIA[[#This Row],[EMBARQUES]]),TABLATRANSFERENCIA[[#This Row],[REQUERIM]],ROUND(TABLATRANSFERENCIA[[#This Row],[REQUERIM]]/TABLATRANSFERENCIA[[#This Row],[EMBARQUES]],0)),TABLATRANSFERENCIA[[#This Row],[REQUERIM]])</f>
        <v>5000</v>
      </c>
      <c r="BG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9" s="51"/>
      <c r="BL9" s="46">
        <f ca="1">IFERROR(TABLATRANSFERENCIA[[#This Row],[REQUERIM]]/TABLATRANSFERENCIA[[#This Row],[PEDIDO PROMEDIO]],0)</f>
        <v>1.5037593984962405</v>
      </c>
      <c r="BM9" s="69">
        <v>5000</v>
      </c>
      <c r="BN9" s="58"/>
      <c r="BO9" s="3">
        <f>IF(TABLATRANSFERENCIA[[#This Row],[RECIBIDO]]&lt;&gt;"",0,IF(TABLATRANSFERENCIA[[#This Row],[DESPACHO]]&lt;&gt;"",TABLATRANSFERENCIA[[#This Row],[DESPACHO]],TABLATRANSFERENCIA[[#This Row],[REQUERIM]]))</f>
        <v>5000</v>
      </c>
      <c r="BP9" s="50"/>
      <c r="BQ9" s="50"/>
      <c r="BR9" s="50" t="str">
        <f>"N"</f>
        <v>N</v>
      </c>
      <c r="BS9" s="51">
        <f t="array" aca="1" ref="BS9" ca="1">IF(SUM(--(TABLATRANSFERENCIA[[#This Row],[CODIGO GENERICO]]=TABLATRANSFERENCIA[CODIGO GENERICO])*TABLATRANSFERENCIA[REQUERIM])&lt;TABLATRANSFERENCIA[[#This Row],[PEDIDO MIN GRUPO]],1,0)</f>
        <v>0</v>
      </c>
      <c r="BT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9" s="51">
        <f ca="1">IFERROR(INDEX(OFFSET(INDIRECT("v_buffer_hist_hoy!$A$1"),1,MATCH("buh_zona_amarilla",INDIRECT("v_buffer_hist_hoy!$1:$1"),0)-1,100000,1),MATCH(CLEAN(TABLATRANSFERENCIA[[#This Row],[CODIGO]]),OFFSET(INDIRECT("v_buffer_hist_hoy!$A$1"),1,MATCH("buh_codigo",INDIRECT("v_buffer_hist_hoy!$1:$1"),0)-1,100000,1),0)),"")</f>
        <v>8845</v>
      </c>
      <c r="BV9" s="51">
        <f ca="1">IFERROR(INDEX(OFFSET(INDIRECT("v_buffer_hist_hoy!$A$1"),1,MATCH("buh_zona_roja",INDIRECT("v_buffer_hist_hoy!$1:$1"),0)-1,100000,1),MATCH(CLEAN(TABLATRANSFERENCIA[[#This Row],[CODIGO]]),OFFSET(INDIRECT("v_buffer_hist_hoy!$A$1"),1,MATCH("buh_codigo",INDIRECT("v_buffer_hist_hoy!$1:$1"),0)-1,100000,1),0)),"")</f>
        <v>4389</v>
      </c>
    </row>
    <row r="10" spans="1:74" x14ac:dyDescent="0.25">
      <c r="A10" s="59" t="s">
        <v>1277</v>
      </c>
      <c r="B10" s="3" t="str">
        <f ca="1">IFERROR(INDEX(OFFSET(INDIRECT("v_buffer_hist_hoy!$A$1"),1,MATCH("pro_descripcion",INDIRECT("v_buffer_hist_hoy!$1:$1"),0)-1,100000,1),MATCH(CLEAN(TABLATRANSFERENCIA[[#This Row],[CODIGO]]),OFFSET(INDIRECT("v_buffer_hist_hoy!$A$1"),1,MATCH("buh_codigo",INDIRECT("v_buffer_hist_hoy!$1:$1"),0)-1,100000,1),0)),"")</f>
        <v>CLOFENTAZINE 50 % SC X LITRO</v>
      </c>
      <c r="C10" s="3" t="str">
        <f ca="1">IFERROR(INDEX(OFFSET(INDIRECT("v_buffer_hist_hoy!$A$1"),1,MATCH("buh_codigo_generico",INDIRECT("v_buffer_hist_hoy!$1:$1"),0)-1,100000,1),MATCH(CLEAN(TABLATRANSFERENCIA[[#This Row],[CODIGO]]),OFFSET(INDIRECT("v_buffer_hist_hoy!$A$1"),1,MATCH("buh_codigo",INDIRECT("v_buffer_hist_hoy!$1:$1"),0)-1,100000,1),0)),"")</f>
        <v>0</v>
      </c>
      <c r="D10" s="3" t="str">
        <f ca="1">IFERROR(INDEX(OFFSET(INDIRECT("v_buffer_hist_hoy!$A$1"),1,MATCH("buh_codigo_vinculado",INDIRECT("v_buffer_hist_hoy!$1:$1"),0)-1,100000,1),MATCH(CLEAN(TABLATRANSFERENCIA[[#This Row],[CODIGO]]),OFFSET(INDIRECT("v_buffer_hist_hoy!$A$1"),1,MATCH("buh_codigo",INDIRECT("v_buffer_hist_hoy!$1:$1"),0)-1,100000,1),0)),"")</f>
        <v>MP-079</v>
      </c>
      <c r="E10" s="3" t="str">
        <f ca="1">IFERROR(INDEX(OFFSET(INDIRECT("v_buffer_hist_hoy!$A$1"),1,MATCH("pro_linea",INDIRECT("v_buffer_hist_hoy!$1:$1"),0)-1,100000,1),MATCH(CLEAN(TABLATRANSFERENCIA[[#This Row],[CODIGO]]),OFFSET(INDIRECT("v_buffer_hist_hoy!$A$1"),1,MATCH("buh_codigo",INDIRECT("v_buffer_hist_hoy!$1:$1"),0)-1,100000,1),0)),"")</f>
        <v>PLAGUICIDAS CONVENCIONALES</v>
      </c>
      <c r="F10" s="3">
        <f ca="1">IFERROR(INDEX(OFFSET(INDIRECT("v_buffer_hist_hoy!$A$1"),1,MATCH("pro_sublinea",INDIRECT("v_buffer_hist_hoy!$1:$1"),0)-1,100000,1),MATCH(CLEAN(TABLATRANSFERENCIA[[#This Row],[CODIGO]]),OFFSET(INDIRECT("v_buffer_hist_hoy!$A$1"),1,MATCH("buh_codigo",INDIRECT("v_buffer_hist_hoy!$1:$1"),0)-1,100000,1),0)),"")</f>
        <v>0</v>
      </c>
      <c r="G10" s="3" t="str">
        <f ca="1">IFERROR(INDEX(OFFSET(INDIRECT("v_buffer_hist_hoy!$A$1"),1,MATCH("pro_grupo",INDIRECT("v_buffer_hist_hoy!$1:$1"),0)-1,100000,1),MATCH(CLEAN(TABLATRANSFERENCIA[[#This Row],[CODIGO]]),OFFSET(INDIRECT("v_buffer_hist_hoy!$A$1"),1,MATCH("buh_codigo",INDIRECT("v_buffer_hist_hoy!$1:$1"),0)-1,100000,1),0)),"")</f>
        <v>CLOFENTAZINE 50 % SC</v>
      </c>
      <c r="H10" s="3">
        <f ca="1">IFERROR(INDEX(OFFSET(INDIRECT("v_buffer_hist_hoy!$A$1"),1,MATCH("pro_familia",INDIRECT("v_buffer_hist_hoy!$1:$1"),0)-1,100000,1),MATCH(CLEAN(TABLATRANSFERENCIA[[#This Row],[CODIGO]]),OFFSET(INDIRECT("v_buffer_hist_hoy!$A$1"),1,MATCH("buh_codigo",INDIRECT("v_buffer_hist_hoy!$1:$1"),0)-1,100000,1),0)),"")</f>
        <v>0</v>
      </c>
      <c r="I10" s="3">
        <f ca="1">IFERROR(INDEX(OFFSET(INDIRECT("v_buffer_hist_hoy!$A$1"),1,MATCH("pro_subfamilia",INDIRECT("v_buffer_hist_hoy!$1:$1"),0)-1,100000,1),MATCH(CLEAN(TABLATRANSFERENCIA[[#This Row],[CODIGO]]),OFFSET(INDIRECT("v_buffer_hist_hoy!$A$1"),1,MATCH("buh_codigo",INDIRECT("v_buffer_hist_hoy!$1:$1"),0)-1,100000,1),0)),"")</f>
        <v>0</v>
      </c>
      <c r="J10" s="3" t="str">
        <f ca="1">IFERROR(INDEX(OFFSET(INDIRECT("v_buffer_hist_hoy!$A$1"),1,MATCH("pro_categoria",INDIRECT("v_buffer_hist_hoy!$1:$1"),0)-1,100000,1),MATCH(CLEAN(TABLATRANSFERENCIA[[#This Row],[CODIGO]]),OFFSET(INDIRECT("v_buffer_hist_hoy!$A$1"),1,MATCH("buh_codigo",INDIRECT("v_buffer_hist_hoy!$1:$1"),0)-1,100000,1),0)),"")</f>
        <v>INSECTICIDA</v>
      </c>
      <c r="K10" s="3">
        <f ca="1">IFERROR(INDEX(OFFSET(INDIRECT("v_buffer_hist_hoy!$A$1"),1,MATCH("pro_tipo",INDIRECT("v_buffer_hist_hoy!$1:$1"),0)-1,100000,1),MATCH(CLEAN(TABLATRANSFERENCIA[[#This Row],[CODIGO]]),OFFSET(INDIRECT("v_buffer_hist_hoy!$A$1"),1,MATCH("buh_codigo",INDIRECT("v_buffer_hist_hoy!$1:$1"),0)-1,100000,1),0)),"")</f>
        <v>0</v>
      </c>
      <c r="L10" s="3" t="str">
        <f ca="1">IFERROR(INDEX(OFFSET(INDIRECT("v_buffer_hist_hoy!$A$1"),1,MATCH("pro_marca",INDIRECT("v_buffer_hist_hoy!$1:$1"),0)-1,100000,1),MATCH(CLEAN(TABLATRANSFERENCIA[[#This Row],[CODIGO]]),OFFSET(INDIRECT("v_buffer_hist_hoy!$A$1"),1,MATCH("buh_codigo",INDIRECT("v_buffer_hist_hoy!$1:$1"),0)-1,100000,1),0)),"")</f>
        <v>SINOCHEM</v>
      </c>
      <c r="M10" s="3">
        <f ca="1">IFERROR(INDEX(OFFSET(INDIRECT("v_buffer_hist_hoy!$A$1"),1,MATCH("pro_modelo",INDIRECT("v_buffer_hist_hoy!$1:$1"),0)-1,100000,1),MATCH(CLEAN(TABLATRANSFERENCIA[[#This Row],[CODIGO]]),OFFSET(INDIRECT("v_buffer_hist_hoy!$A$1"),1,MATCH("buh_codigo",INDIRECT("v_buffer_hist_hoy!$1:$1"),0)-1,100000,1),0)),"")</f>
        <v>0</v>
      </c>
      <c r="N10" s="3">
        <f ca="1">IFERROR(INDEX(OFFSET(INDIRECT("v_buffer_hist_hoy!$A$1"),1,MATCH("pro_cat_management",INDIRECT("v_buffer_hist_hoy!$1:$1"),0)-1,100000,1),MATCH(CLEAN(TABLATRANSFERENCIA[[#This Row],[CODIGO]]),OFFSET(INDIRECT("v_buffer_hist_hoy!$A$1"),1,MATCH("buh_codigo",INDIRECT("v_buffer_hist_hoy!$1:$1"),0)-1,100000,1),0)),"")</f>
        <v>0</v>
      </c>
      <c r="O10" s="5" t="str">
        <f ca="1">IFERROR(INDEX(OFFSET(INDIRECT("v_buffer_hist_hoy!$A$1"),1,MATCH("buh_estatus",INDIRECT("v_buffer_hist_hoy!$1:$1"),0)-1,100000,1),MATCH(CLEAN(TABLATRANSFERENCIA[[#This Row],[CODIGO]]),OFFSET(INDIRECT("v_buffer_hist_hoy!$A$1"),1,MATCH("buh_codigo",INDIRECT("v_buffer_hist_hoy!$1:$1"),0)-1,100000,1),0)),"")</f>
        <v>0</v>
      </c>
      <c r="P10" s="5">
        <f ca="1">IFERROR(INDEX(OFFSET(INDIRECT("v_buffer_hist_hoy!$A$1"),1,MATCH("buh_ctv",INDIRECT("v_buffer_hist_hoy!$1:$1"),0)-1,100000,1),MATCH(CLEAN(TABLATRANSFERENCIA[[#This Row],[CODIGO]]),OFFSET(INDIRECT("v_buffer_hist_hoy!$A$1"),1,MATCH("buh_codigo",INDIRECT("v_buffer_hist_hoy!$1:$1"),0)-1,100000,1),0)),"")</f>
        <v>30.24</v>
      </c>
      <c r="Q10" s="5">
        <f ca="1">IFERROR(INDEX(OFFSET(INDIRECT("v_buffer_hist_hoy!$A$1"),1,MATCH("buh_pv",INDIRECT("v_buffer_hist_hoy!$1:$1"),0)-1,100000,1),MATCH(CLEAN(TABLATRANSFERENCIA[[#This Row],[CODIGO]]),OFFSET(INDIRECT("v_buffer_hist_hoy!$A$1"),1,MATCH("buh_codigo",INDIRECT("v_buffer_hist_hoy!$1:$1"),0)-1,100000,1),0)),"")</f>
        <v>0</v>
      </c>
      <c r="R10" s="46">
        <f ca="1">IFERROR(INDEX(OFFSET(INDIRECT("v_buffer_hist_hoy!$A$1"),1,MATCH("buh_roi_pasado",INDIRECT("v_buffer_hist_hoy!$1:$1"),0)-1,100000,1),MATCH(CLEAN(TABLATRANSFERENCIA[[#This Row],[CODIGO]]),OFFSET(INDIRECT("v_buffer_hist_hoy!$A$1"),1,MATCH("buh_codigo",INDIRECT("v_buffer_hist_hoy!$1:$1"),0)-1,100000,1),0)),"")</f>
        <v>0</v>
      </c>
      <c r="S10" s="46">
        <f ca="1">IFERROR(INDEX(OFFSET(INDIRECT("v_buffer_hist_hoy!$A$1"),1,MATCH("buh_roi_proyectado",INDIRECT("v_buffer_hist_hoy!$1:$1"),0)-1,100000,1),MATCH(CLEAN(TABLATRANSFERENCIA[[#This Row],[CODIGO]]),OFFSET(INDIRECT("v_buffer_hist_hoy!$A$1"),1,MATCH("buh_codigo",INDIRECT("v_buffer_hist_hoy!$1:$1"),0)-1,100000,1),0)),"")</f>
        <v>-3</v>
      </c>
      <c r="T10" s="46">
        <f ca="1">IFERROR(INDEX(OFFSET(INDIRECT("v_buffer_hist_hoy!$A$1"),1,MATCH("buh_velocity",INDIRECT("v_buffer_hist_hoy!$1:$1"),0)-1,100000,1),MATCH(CLEAN(TABLATRANSFERENCIA[[#This Row],[CODIGO]]),OFFSET(INDIRECT("v_buffer_hist_hoy!$A$1"),1,MATCH("buh_codigo",INDIRECT("v_buffer_hist_hoy!$1:$1"),0)-1,100000,1),0)),"")</f>
        <v>0</v>
      </c>
      <c r="U10" s="46">
        <f ca="1">IFERROR(INDEX(OFFSET(INDIRECT("v_buffer_hist_hoy!$A$1"),1,MATCH("buh_nivel_servicio",INDIRECT("v_buffer_hist_hoy!$1:$1"),0)-1,100000,1),MATCH(CLEAN(TABLATRANSFERENCIA[[#This Row],[CODIGO]]),OFFSET(INDIRECT("v_buffer_hist_hoy!$A$1"),1,MATCH("buh_codigo",INDIRECT("v_buffer_hist_hoy!$1:$1"),0)-1,100000,1),0)),"")</f>
        <v>1</v>
      </c>
      <c r="V10" s="49" t="str">
        <f ca="1">IFERROR(INDEX(OFFSET(INDIRECT("v_buffer_hist_hoy!$A$1"),1,MATCH("pro_nombre",INDIRECT("v_buffer_hist_hoy!$1:$1"),0)-1,100000,1),MATCH(CLEAN(TABLATRANSFERENCIA[[#This Row],[CODIGO]]),OFFSET(INDIRECT("v_buffer_hist_hoy!$A$1"),1,MATCH("buh_codigo",INDIRECT("v_buffer_hist_hoy!$1:$1"),0)-1,100000,1),0)),"")</f>
        <v>Sinochem</v>
      </c>
      <c r="W10" s="49" t="str">
        <f ca="1">IFERROR(INDEX(OFFSET(INDIRECT("v_buffer_hist_hoy!$A$1"),1,MATCH("pre_nombre",INDIRECT("v_buffer_hist_hoy!$1:$1"),0)-1,100000,1),MATCH(CLEAN(TABLATRANSFERENCIA[[#This Row],[CODIGO]]),OFFSET(INDIRECT("v_buffer_hist_hoy!$A$1"),1,MATCH("buh_codigo",INDIRECT("v_buffer_hist_hoy!$1:$1"),0)-1,100000,1),0)),"")</f>
        <v>CHINA</v>
      </c>
      <c r="X10" s="51">
        <f ca="1">IFERROR(INDEX(OFFSET(INDIRECT("v_buffer_hist_hoy!$A$1"),1,MATCH("buh_tiempo_suministro",INDIRECT("v_buffer_hist_hoy!$1:$1"),0)-1,100000,1),MATCH(CLEAN(TABLATRANSFERENCIA[[#This Row],[CODIGO]]),OFFSET(INDIRECT("v_buffer_hist_hoy!$A$1"),1,MATCH("buh_codigo",INDIRECT("v_buffer_hist_hoy!$1:$1"),0)-1,100000,1),0)),"")</f>
        <v>12</v>
      </c>
      <c r="Y10" s="51">
        <f ca="1">IFERROR(INDEX(OFFSET(INDIRECT("v_buffer_hist_hoy!$A$1"),1,MATCH("buh_frecuencia_reposicion",INDIRECT("v_buffer_hist_hoy!$1:$1"),0)-1,100000,1),MATCH(CLEAN(TABLATRANSFERENCIA[[#This Row],[CODIGO]]),OFFSET(INDIRECT("v_buffer_hist_hoy!$A$1"),1,MATCH("buh_codigo",INDIRECT("v_buffer_hist_hoy!$1:$1"),0)-1,100000,1),0)),"")</f>
        <v>4</v>
      </c>
      <c r="Z10" s="6">
        <f ca="1">IFERROR(INDEX(OFFSET(INDIRECT("v_buffer_hist_hoy!$A$1"),1,MATCH("buh_buffer_actual",INDIRECT("v_buffer_hist_hoy!$1:$1"),0)-1,100000,1),MATCH(CLEAN(TABLATRANSFERENCIA[[#This Row],[CODIGO]]),OFFSET(INDIRECT("v_buffer_hist_hoy!$A$1"),1,MATCH("buh_codigo",INDIRECT("v_buffer_hist_hoy!$1:$1"),0)-1,100000,1),0)),"")</f>
        <v>532</v>
      </c>
      <c r="AA10" s="6">
        <f ca="1">IFERROR(INDEX(OFFSET(INDIRECT("v_buffer_hist_hoy!$A$1"),1,MATCH("buh_inventario_fisico",INDIRECT("v_buffer_hist_hoy!$1:$1"),0)-1,100000,1),MATCH(CLEAN(TABLATRANSFERENCIA[[#This Row],[CODIGO]]),OFFSET(INDIRECT("v_buffer_hist_hoy!$A$1"),1,MATCH("buh_codigo",INDIRECT("v_buffer_hist_hoy!$1:$1"),0)-1,100000,1),0)),"")</f>
        <v>40</v>
      </c>
      <c r="AB10" s="4">
        <f ca="1">IFERROR(INDEX(OFFSET(INDIRECT("v_buffer_hist_hoy!$A$1"),1,MATCH("buh_estado_inventario_fisico",INDIRECT("v_buffer_hist_hoy!$1:$1"),0)-1,100000,1),MATCH(CLEAN(TABLATRANSFERENCIA[[#This Row],[CODIGO]]),OFFSET(INDIRECT("v_buffer_hist_hoy!$A$1"),1,MATCH("buh_codigo",INDIRECT("v_buffer_hist_hoy!$1:$1"),0)-1,100000,1),0)),"")</f>
        <v>0.92</v>
      </c>
      <c r="AC10" s="6" t="str">
        <f ca="1">IFERROR(INDEX(OFFSET(INDIRECT("v_buffer_hist_hoy!$A$1"),1,MATCH("buh_color_inventario_fisico",INDIRECT("v_buffer_hist_hoy!$1:$1"),0)-1,100000,1),MATCH(CLEAN(TABLATRANSFERENCIA[[#This Row],[CODIGO]]),OFFSET(INDIRECT("v_buffer_hist_hoy!$A$1"),1,MATCH("buh_codigo",INDIRECT("v_buffer_hist_hoy!$1:$1"),0)-1,100000,1),0)),"")</f>
        <v>R</v>
      </c>
      <c r="AD10" s="6">
        <f ca="1">IFERROR(INDEX(OFFSET(INDIRECT("v_buffer_hist_hoy!$A$1"),1,MATCH("buh_transito",INDIRECT("v_buffer_hist_hoy!$1:$1"),0)-1,100000,1),MATCH(CLEAN(TABLATRANSFERENCIA[[#This Row],[CODIGO]]),OFFSET(INDIRECT("v_buffer_hist_hoy!$A$1"),1,MATCH("buh_codigo",INDIRECT("v_buffer_hist_hoy!$1:$1"),0)-1,100000,1),0)),"")</f>
        <v>200</v>
      </c>
      <c r="AE10" s="6">
        <f ca="1">IFERROR(INDEX(OFFSET(INDIRECT("v_buffer_hist_hoy!$A$1"),1,MATCH("buh_negociacion",INDIRECT("v_buffer_hist_hoy!$1:$1"),0)-1,100000,1),MATCH(CLEAN(TABLATRANSFERENCIA[[#This Row],[CODIGO]]),OFFSET(INDIRECT("v_buffer_hist_hoy!$A$1"),1,MATCH("buh_codigo",INDIRECT("v_buffer_hist_hoy!$1:$1"),0)-1,100000,1),0)),"")</f>
        <v>0</v>
      </c>
      <c r="AF10" s="6">
        <f ca="1">IFERROR(INDEX(OFFSET(INDIRECT("v_buffer_hist_hoy!$A$1"),1,MATCH("buh_produccion",INDIRECT("v_buffer_hist_hoy!$1:$1"),0)-1,100000,1),MATCH(CLEAN(TABLATRANSFERENCIA[[#This Row],[CODIGO]]),OFFSET(INDIRECT("v_buffer_hist_hoy!$A$1"),1,MATCH("buh_codigo",INDIRECT("v_buffer_hist_hoy!$1:$1"),0)-1,100000,1),0)),"")</f>
        <v>0</v>
      </c>
      <c r="AG10" s="6">
        <f ca="1">IFERROR(INDEX(OFFSET(INDIRECT("v_buffer_hist_hoy!$A$1"),1,MATCH("buh_embarcado",INDIRECT("v_buffer_hist_hoy!$1:$1"),0)-1,100000,1),MATCH(CLEAN(TABLATRANSFERENCIA[[#This Row],[CODIGO]]),OFFSET(INDIRECT("v_buffer_hist_hoy!$A$1"),1,MATCH("buh_codigo",INDIRECT("v_buffer_hist_hoy!$1:$1"),0)-1,100000,1),0)),"")</f>
        <v>0</v>
      </c>
      <c r="AH10" s="6">
        <f ca="1">IFERROR(INDEX(OFFSET(INDIRECT("v_buffer_hist_hoy!$A$1"),1,MATCH("buh_comprometido",INDIRECT("v_buffer_hist_hoy!$1:$1"),0)-1,100000,1),MATCH(CLEAN(TABLATRANSFERENCIA[[#This Row],[CODIGO]]),OFFSET(INDIRECT("v_buffer_hist_hoy!$A$1"),1,MATCH("buh_codigo",INDIRECT("v_buffer_hist_hoy!$1:$1"),0)-1,100000,1),0)),"")</f>
        <v>0</v>
      </c>
      <c r="AI10" s="6">
        <f ca="1">IFERROR(INDEX(OFFSET(INDIRECT("v_buffer_hist_hoy!$A$1"),1,MATCH("buh_backorder",INDIRECT("v_buffer_hist_hoy!$1:$1"),0)-1,100000,1),MATCH(CLEAN(TABLATRANSFERENCIA[[#This Row],[CODIGO]]),OFFSET(INDIRECT("v_buffer_hist_hoy!$A$1"),1,MATCH("buh_codigo",INDIRECT("v_buffer_hist_hoy!$1:$1"),0)-1,100000,1),0)),"")</f>
        <v>0</v>
      </c>
      <c r="AJ10" s="6">
        <f ca="1">IFERROR(INDEX(OFFSET(INDIRECT("v_buffer_hist_hoy!$A$1"),1,MATCH("buh_inventario_proyectado",INDIRECT("v_buffer_hist_hoy!$1:$1"),0)-1,100000,1),MATCH(CLEAN(TABLATRANSFERENCIA[[#This Row],[CODIGO]]),OFFSET(INDIRECT("v_buffer_hist_hoy!$A$1"),1,MATCH("buh_codigo",INDIRECT("v_buffer_hist_hoy!$1:$1"),0)-1,100000,1),0)),"")</f>
        <v>240</v>
      </c>
      <c r="AK10" s="4">
        <f ca="1">IFERROR(INDEX(OFFSET(INDIRECT("v_buffer_hist_hoy!$A$1"),1,MATCH("buh_estado_inventario_proyectado",INDIRECT("v_buffer_hist_hoy!$1:$1"),0)-1,100000,1),MATCH(CLEAN(TABLATRANSFERENCIA[[#This Row],[CODIGO]]),OFFSET(INDIRECT("v_buffer_hist_hoy!$A$1"),1,MATCH("buh_codigo",INDIRECT("v_buffer_hist_hoy!$1:$1"),0)-1,100000,1),0)),"")</f>
        <v>0.55000000000000004</v>
      </c>
      <c r="AL10" s="6" t="str">
        <f ca="1">IFERROR(INDEX(OFFSET(INDIRECT("v_buffer_hist_hoy!$A$1"),1,MATCH("buh_color_inventario_proyectado",INDIRECT("v_buffer_hist_hoy!$1:$1"),0)-1,100000,1),MATCH(CLEAN(TABLATRANSFERENCIA[[#This Row],[CODIGO]]),OFFSET(INDIRECT("v_buffer_hist_hoy!$A$1"),1,MATCH("buh_codigo",INDIRECT("v_buffer_hist_hoy!$1:$1"),0)-1,100000,1),0)),"")</f>
        <v>A</v>
      </c>
      <c r="AM10" s="6">
        <f ca="1">IFERROR(INDEX(OFFSET(INDIRECT("v_buffer_hist_hoy!$A$1"),1,MATCH("buh_pedido_minimo",INDIRECT("v_buffer_hist_hoy!$1:$1"),0)-1,100000,1),MATCH(CLEAN(TABLATRANSFERENCIA[[#This Row],[CODIGO]]),OFFSET(INDIRECT("v_buffer_hist_hoy!$A$1"),1,MATCH("buh_codigo",INDIRECT("v_buffer_hist_hoy!$1:$1"),0)-1,100000,1),0)),"")</f>
        <v>0</v>
      </c>
      <c r="AN10" s="6">
        <f ca="1">IFERROR(INDEX(OFFSET(INDIRECT("v_buffer_hist_hoy!$A$1"),1,MATCH("buh_pedido_minimo_grupo",INDIRECT("v_buffer_hist_hoy!$1:$1"),0)-1,100000,1),MATCH(CLEAN(TABLATRANSFERENCIA[[#This Row],[CODIGO]]),OFFSET(INDIRECT("v_buffer_hist_hoy!$A$1"),1,MATCH("buh_codigo",INDIRECT("v_buffer_hist_hoy!$1:$1"),0)-1,100000,1),0)),"")</f>
        <v>0</v>
      </c>
      <c r="AO10" s="6">
        <f ca="1">IFERROR(INDEX(OFFSET(INDIRECT("v_buffer_hist_hoy!$A$1"),1,MATCH("buh_unidad_empaque",INDIRECT("v_buffer_hist_hoy!$1:$1"),0)-1,100000,1),MATCH(CLEAN(TABLATRANSFERENCIA[[#This Row],[CODIGO]]),OFFSET(INDIRECT("v_buffer_hist_hoy!$A$1"),1,MATCH("buh_codigo",INDIRECT("v_buffer_hist_hoy!$1:$1"),0)-1,100000,1),0)),"")</f>
        <v>0</v>
      </c>
      <c r="AP10" s="6">
        <f ca="1">IFERROR(INDEX(OFFSET(INDIRECT("v_buffer_hist_hoy!$A$1"),1,MATCH("buh_pedido_promedio",INDIRECT("v_buffer_hist_hoy!$1:$1"),0)-1,100000,1),MATCH(CLEAN(TABLATRANSFERENCIA[[#This Row],[CODIGO]]),OFFSET(INDIRECT("v_buffer_hist_hoy!$A$1"),1,MATCH("buh_codigo",INDIRECT("v_buffer_hist_hoy!$1:$1"),0)-1,100000,1),0)),"")</f>
        <v>133</v>
      </c>
      <c r="AQ10" s="6">
        <f ca="1">IFERROR(INDEX(OFFSET(INDIRECT("v_buffer_hist_hoy!$A$1"),1,MATCH("buh_cobertura_buffer",INDIRECT("v_buffer_hist_hoy!$1:$1"),0)-1,100000,1),MATCH(CLEAN(TABLATRANSFERENCIA[[#This Row],[CODIGO]]),OFFSET(INDIRECT("v_buffer_hist_hoy!$A$1"),1,MATCH("buh_codigo",INDIRECT("v_buffer_hist_hoy!$1:$1"),0)-1,100000,1),0)),"")</f>
        <v>0</v>
      </c>
      <c r="AR10" s="6">
        <f ca="1">IFERROR(INDEX(OFFSET(INDIRECT("v_buffer_hist_hoy!$A$1"),1,MATCH("buh_cobertura_inventario_proyectado",INDIRECT("v_buffer_hist_hoy!$1:$1"),0)-1,100000,1),MATCH(CLEAN(TABLATRANSFERENCIA[[#This Row],[CODIGO]]),OFFSET(INDIRECT("v_buffer_hist_hoy!$A$1"),1,MATCH("buh_codigo",INDIRECT("v_buffer_hist_hoy!$1:$1"),0)-1,100000,1),0)),"")</f>
        <v>0</v>
      </c>
      <c r="AS10" s="6">
        <f ca="1">IFERROR(INDEX(OFFSET(INDIRECT("v_buffer_hist_hoy!$A$1"),1,MATCH("buh_cobertura_pedido_minimo",INDIRECT("v_buffer_hist_hoy!$1:$1"),0)-1,100000,1),MATCH(CLEAN(TABLATRANSFERENCIA[[#This Row],[CODIGO]]),OFFSET(INDIRECT("v_buffer_hist_hoy!$A$1"),1,MATCH("buh_codigo",INDIRECT("v_buffer_hist_hoy!$1:$1"),0)-1,100000,1),0)),"")</f>
        <v>0</v>
      </c>
      <c r="AT10" s="6">
        <f ca="1">IFERROR(INDEX(OFFSET(INDIRECT("v_buffer_hist_hoy!$A$1"),1,MATCH("buh_dias_desabastecimiento",INDIRECT("v_buffer_hist_hoy!$1:$1"),0)-1,100000,1),MATCH(CLEAN(TABLATRANSFERENCIA[[#This Row],[CODIGO]]),OFFSET(INDIRECT("v_buffer_hist_hoy!$A$1"),1,MATCH("buh_codigo",INDIRECT("v_buffer_hist_hoy!$1:$1"),0)-1,100000,1),0)),"")</f>
        <v>46</v>
      </c>
      <c r="AU10" s="6">
        <f t="array" ref="AU10">IFERROR(INDEX(Datos_Consumo[CANTIDAD],MATCH(TABLATRANSFERENCIA[[#This Row],[CODIGO]]&amp;TABLATRANSFERENCIA[[#Headers],[Columna1]],Datos_Consumo[CODIGO]&amp;Datos_Consumo[FECHA_FORMATO],0)),0)</f>
        <v>0</v>
      </c>
      <c r="AV10" s="6">
        <f t="array" ref="AV10">IFERROR(INDEX(Datos_Consumo[CANTIDAD],MATCH(TABLATRANSFERENCIA[[#This Row],[CODIGO]]&amp;TABLATRANSFERENCIA[[#Headers],[Columna2]],Datos_Consumo[CODIGO]&amp;Datos_Consumo[FECHA_FORMATO],0)),0)</f>
        <v>0</v>
      </c>
      <c r="AW10" s="6">
        <f t="array" ref="AW10">IFERROR(INDEX(Datos_Consumo[CANTIDAD],MATCH(TABLATRANSFERENCIA[[#This Row],[CODIGO]]&amp;TABLATRANSFERENCIA[[#Headers],[Columna3]],Datos_Consumo[CODIGO]&amp;Datos_Consumo[FECHA_FORMATO],0)),0)</f>
        <v>0</v>
      </c>
      <c r="AX10" s="6">
        <f t="array" ref="AX10">IFERROR(INDEX(Datos_Consumo[CANTIDAD],MATCH(TABLATRANSFERENCIA[[#This Row],[CODIGO]]&amp;TABLATRANSFERENCIA[[#Headers],[Columna4]],Datos_Consumo[CODIGO]&amp;Datos_Consumo[FECHA_FORMATO],0)),0)</f>
        <v>0</v>
      </c>
      <c r="AY10" s="6">
        <f t="array" ref="AY10">IFERROR(INDEX(Datos_Consumo[CANTIDAD],MATCH(TABLATRANSFERENCIA[[#This Row],[CODIGO]]&amp;TABLATRANSFERENCIA[[#Headers],[Columna5]],Datos_Consumo[CODIGO]&amp;Datos_Consumo[FECHA_FORMATO],0)),0)</f>
        <v>0</v>
      </c>
      <c r="AZ10" s="6">
        <f t="array" ref="AZ10">IFERROR(INDEX(Datos_Consumo[CANTIDAD],MATCH(TABLATRANSFERENCIA[[#This Row],[CODIGO]]&amp;TABLATRANSFERENCIA[[#Headers],[Columna6]],Datos_Consumo[CODIGO]&amp;Datos_Consumo[FECHA_FORMATO],0)),0)</f>
        <v>0</v>
      </c>
      <c r="BA10" s="54">
        <f ca="1">IFERROR(INDEX(OFFSET(INDIRECT("v_buffer_hist_hoy!$A$1"),1,MATCH("buh_ultima_transferencia_ini",INDIRECT("v_buffer_hist_hoy!$1:$1"),0)-1,100000,1),MATCH(CLEAN(TABLATRANSFERENCIA[[#This Row],[CODIGO]]),OFFSET(INDIRECT("v_buffer_hist_hoy!$A$1"),1,MATCH("buh_codigo",INDIRECT("v_buffer_hist_hoy!$1:$1"),0)-1,100000,1),0)),"")</f>
        <v>0</v>
      </c>
      <c r="BB10" s="54">
        <f ca="1">IFERROR(INDEX(OFFSET(INDIRECT("v_buffer_hist_hoy!$A$1"),1,MATCH("buh_ultima_transferencia_fin",INDIRECT("v_buffer_hist_hoy!$1:$1"),0)-1,100000,1),MATCH(CLEAN(TABLATRANSFERENCIA[[#This Row],[CODIGO]]),OFFSET(INDIRECT("v_buffer_hist_hoy!$A$1"),1,MATCH("buh_codigo",INDIRECT("v_buffer_hist_hoy!$1:$1"),0)-1,100000,1),0)),"")</f>
        <v>0</v>
      </c>
      <c r="BC10" s="62">
        <v>200</v>
      </c>
      <c r="BD10" s="66">
        <v>200</v>
      </c>
      <c r="BE10" s="51"/>
      <c r="BF10" s="51">
        <f>IF(RIGHT(TABLATRANSFERENCIA[[#Headers],[Emb1]],1)*1&lt;=TABLATRANSFERENCIA[[#This Row],[EMBARQUES]],IF(ISBLANK(TABLATRANSFERENCIA[[#This Row],[EMBARQUES]]),TABLATRANSFERENCIA[[#This Row],[REQUERIM]],ROUND(TABLATRANSFERENCIA[[#This Row],[REQUERIM]]/TABLATRANSFERENCIA[[#This Row],[EMBARQUES]],0)),TABLATRANSFERENCIA[[#This Row],[REQUERIM]])</f>
        <v>200</v>
      </c>
      <c r="BG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0" s="51"/>
      <c r="BL10" s="46">
        <f ca="1">IFERROR(TABLATRANSFERENCIA[[#This Row],[REQUERIM]]/TABLATRANSFERENCIA[[#This Row],[PEDIDO PROMEDIO]],0)</f>
        <v>1.5037593984962405</v>
      </c>
      <c r="BM10" s="70">
        <v>200</v>
      </c>
      <c r="BN10" s="58"/>
      <c r="BO10" s="3">
        <f>IF(TABLATRANSFERENCIA[[#This Row],[RECIBIDO]]&lt;&gt;"",0,IF(TABLATRANSFERENCIA[[#This Row],[DESPACHO]]&lt;&gt;"",TABLATRANSFERENCIA[[#This Row],[DESPACHO]],TABLATRANSFERENCIA[[#This Row],[REQUERIM]]))</f>
        <v>200</v>
      </c>
      <c r="BP10" s="50"/>
      <c r="BQ10" s="50"/>
      <c r="BR10" s="50" t="str">
        <f>"N"</f>
        <v>N</v>
      </c>
      <c r="BS10" s="51">
        <f t="array" aca="1" ref="BS10" ca="1">IF(SUM(--(TABLATRANSFERENCIA[[#This Row],[CODIGO GENERICO]]=TABLATRANSFERENCIA[CODIGO GENERICO])*TABLATRANSFERENCIA[REQUERIM])&lt;TABLATRANSFERENCIA[[#This Row],[PEDIDO MIN GRUPO]],1,0)</f>
        <v>0</v>
      </c>
      <c r="BT1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10" s="51">
        <f ca="1">IFERROR(INDEX(OFFSET(INDIRECT("v_buffer_hist_hoy!$A$1"),1,MATCH("buh_zona_amarilla",INDIRECT("v_buffer_hist_hoy!$1:$1"),0)-1,100000,1),MATCH(CLEAN(TABLATRANSFERENCIA[[#This Row],[CODIGO]]),OFFSET(INDIRECT("v_buffer_hist_hoy!$A$1"),1,MATCH("buh_codigo",INDIRECT("v_buffer_hist_hoy!$1:$1"),0)-1,100000,1),0)),"")</f>
        <v>354</v>
      </c>
      <c r="BV10" s="51">
        <f ca="1">IFERROR(INDEX(OFFSET(INDIRECT("v_buffer_hist_hoy!$A$1"),1,MATCH("buh_zona_roja",INDIRECT("v_buffer_hist_hoy!$1:$1"),0)-1,100000,1),MATCH(CLEAN(TABLATRANSFERENCIA[[#This Row],[CODIGO]]),OFFSET(INDIRECT("v_buffer_hist_hoy!$A$1"),1,MATCH("buh_codigo",INDIRECT("v_buffer_hist_hoy!$1:$1"),0)-1,100000,1),0)),"")</f>
        <v>176</v>
      </c>
    </row>
    <row r="11" spans="1:74" x14ac:dyDescent="0.25">
      <c r="A11" s="59" t="s">
        <v>1287</v>
      </c>
      <c r="B11" s="3" t="str">
        <f ca="1">IFERROR(INDEX(OFFSET(INDIRECT("v_buffer_hist_hoy!$A$1"),1,MATCH("pro_descripcion",INDIRECT("v_buffer_hist_hoy!$1:$1"),0)-1,100000,1),MATCH(CLEAN(TABLATRANSFERENCIA[[#This Row],[CODIGO]]),OFFSET(INDIRECT("v_buffer_hist_hoy!$A$1"),1,MATCH("buh_codigo",INDIRECT("v_buffer_hist_hoy!$1:$1"),0)-1,100000,1),0)),"")</f>
        <v>CYROMAZINE 75% WP Preimpresa  x 50G</v>
      </c>
      <c r="C11" s="3" t="str">
        <f ca="1">IFERROR(INDEX(OFFSET(INDIRECT("v_buffer_hist_hoy!$A$1"),1,MATCH("buh_codigo_generico",INDIRECT("v_buffer_hist_hoy!$1:$1"),0)-1,100000,1),MATCH(CLEAN(TABLATRANSFERENCIA[[#This Row],[CODIGO]]),OFFSET(INDIRECT("v_buffer_hist_hoy!$A$1"),1,MATCH("buh_codigo",INDIRECT("v_buffer_hist_hoy!$1:$1"),0)-1,100000,1),0)),"")</f>
        <v>0</v>
      </c>
      <c r="D11" s="3" t="str">
        <f ca="1">IFERROR(INDEX(OFFSET(INDIRECT("v_buffer_hist_hoy!$A$1"),1,MATCH("buh_codigo_vinculado",INDIRECT("v_buffer_hist_hoy!$1:$1"),0)-1,100000,1),MATCH(CLEAN(TABLATRANSFERENCIA[[#This Row],[CODIGO]]),OFFSET(INDIRECT("v_buffer_hist_hoy!$A$1"),1,MATCH("buh_codigo",INDIRECT("v_buffer_hist_hoy!$1:$1"),0)-1,100000,1),0)),"")</f>
        <v>MPINCOCYR-50G</v>
      </c>
      <c r="E11" s="3" t="str">
        <f ca="1">IFERROR(INDEX(OFFSET(INDIRECT("v_buffer_hist_hoy!$A$1"),1,MATCH("pro_linea",INDIRECT("v_buffer_hist_hoy!$1:$1"),0)-1,100000,1),MATCH(CLEAN(TABLATRANSFERENCIA[[#This Row],[CODIGO]]),OFFSET(INDIRECT("v_buffer_hist_hoy!$A$1"),1,MATCH("buh_codigo",INDIRECT("v_buffer_hist_hoy!$1:$1"),0)-1,100000,1),0)),"")</f>
        <v>PLAGUICIDAS CONVENCIONALES</v>
      </c>
      <c r="F11" s="3">
        <f ca="1">IFERROR(INDEX(OFFSET(INDIRECT("v_buffer_hist_hoy!$A$1"),1,MATCH("pro_sublinea",INDIRECT("v_buffer_hist_hoy!$1:$1"),0)-1,100000,1),MATCH(CLEAN(TABLATRANSFERENCIA[[#This Row],[CODIGO]]),OFFSET(INDIRECT("v_buffer_hist_hoy!$A$1"),1,MATCH("buh_codigo",INDIRECT("v_buffer_hist_hoy!$1:$1"),0)-1,100000,1),0)),"")</f>
        <v>0</v>
      </c>
      <c r="G11" s="3" t="str">
        <f ca="1">IFERROR(INDEX(OFFSET(INDIRECT("v_buffer_hist_hoy!$A$1"),1,MATCH("pro_grupo",INDIRECT("v_buffer_hist_hoy!$1:$1"),0)-1,100000,1),MATCH(CLEAN(TABLATRANSFERENCIA[[#This Row],[CODIGO]]),OFFSET(INDIRECT("v_buffer_hist_hoy!$A$1"),1,MATCH("buh_codigo",INDIRECT("v_buffer_hist_hoy!$1:$1"),0)-1,100000,1),0)),"")</f>
        <v>CYROMAZINA 75% WP</v>
      </c>
      <c r="H11" s="3">
        <f ca="1">IFERROR(INDEX(OFFSET(INDIRECT("v_buffer_hist_hoy!$A$1"),1,MATCH("pro_familia",INDIRECT("v_buffer_hist_hoy!$1:$1"),0)-1,100000,1),MATCH(CLEAN(TABLATRANSFERENCIA[[#This Row],[CODIGO]]),OFFSET(INDIRECT("v_buffer_hist_hoy!$A$1"),1,MATCH("buh_codigo",INDIRECT("v_buffer_hist_hoy!$1:$1"),0)-1,100000,1),0)),"")</f>
        <v>0</v>
      </c>
      <c r="I11" s="3">
        <f ca="1">IFERROR(INDEX(OFFSET(INDIRECT("v_buffer_hist_hoy!$A$1"),1,MATCH("pro_subfamilia",INDIRECT("v_buffer_hist_hoy!$1:$1"),0)-1,100000,1),MATCH(CLEAN(TABLATRANSFERENCIA[[#This Row],[CODIGO]]),OFFSET(INDIRECT("v_buffer_hist_hoy!$A$1"),1,MATCH("buh_codigo",INDIRECT("v_buffer_hist_hoy!$1:$1"),0)-1,100000,1),0)),"")</f>
        <v>0</v>
      </c>
      <c r="J11" s="3" t="str">
        <f ca="1">IFERROR(INDEX(OFFSET(INDIRECT("v_buffer_hist_hoy!$A$1"),1,MATCH("pro_categoria",INDIRECT("v_buffer_hist_hoy!$1:$1"),0)-1,100000,1),MATCH(CLEAN(TABLATRANSFERENCIA[[#This Row],[CODIGO]]),OFFSET(INDIRECT("v_buffer_hist_hoy!$A$1"),1,MATCH("buh_codigo",INDIRECT("v_buffer_hist_hoy!$1:$1"),0)-1,100000,1),0)),"")</f>
        <v>INSECTICIDA</v>
      </c>
      <c r="K11" s="3">
        <f ca="1">IFERROR(INDEX(OFFSET(INDIRECT("v_buffer_hist_hoy!$A$1"),1,MATCH("pro_tipo",INDIRECT("v_buffer_hist_hoy!$1:$1"),0)-1,100000,1),MATCH(CLEAN(TABLATRANSFERENCIA[[#This Row],[CODIGO]]),OFFSET(INDIRECT("v_buffer_hist_hoy!$A$1"),1,MATCH("buh_codigo",INDIRECT("v_buffer_hist_hoy!$1:$1"),0)-1,100000,1),0)),"")</f>
        <v>0</v>
      </c>
      <c r="L11" s="3" t="str">
        <f ca="1">IFERROR(INDEX(OFFSET(INDIRECT("v_buffer_hist_hoy!$A$1"),1,MATCH("pro_marca",INDIRECT("v_buffer_hist_hoy!$1:$1"),0)-1,100000,1),MATCH(CLEAN(TABLATRANSFERENCIA[[#This Row],[CODIGO]]),OFFSET(INDIRECT("v_buffer_hist_hoy!$A$1"),1,MATCH("buh_codigo",INDIRECT("v_buffer_hist_hoy!$1:$1"),0)-1,100000,1),0)),"")</f>
        <v>SINOCHEM</v>
      </c>
      <c r="M11" s="3">
        <f ca="1">IFERROR(INDEX(OFFSET(INDIRECT("v_buffer_hist_hoy!$A$1"),1,MATCH("pro_modelo",INDIRECT("v_buffer_hist_hoy!$1:$1"),0)-1,100000,1),MATCH(CLEAN(TABLATRANSFERENCIA[[#This Row],[CODIGO]]),OFFSET(INDIRECT("v_buffer_hist_hoy!$A$1"),1,MATCH("buh_codigo",INDIRECT("v_buffer_hist_hoy!$1:$1"),0)-1,100000,1),0)),"")</f>
        <v>0</v>
      </c>
      <c r="N11" s="3">
        <f ca="1">IFERROR(INDEX(OFFSET(INDIRECT("v_buffer_hist_hoy!$A$1"),1,MATCH("pro_cat_management",INDIRECT("v_buffer_hist_hoy!$1:$1"),0)-1,100000,1),MATCH(CLEAN(TABLATRANSFERENCIA[[#This Row],[CODIGO]]),OFFSET(INDIRECT("v_buffer_hist_hoy!$A$1"),1,MATCH("buh_codigo",INDIRECT("v_buffer_hist_hoy!$1:$1"),0)-1,100000,1),0)),"")</f>
        <v>0</v>
      </c>
      <c r="O11" s="5" t="str">
        <f ca="1">IFERROR(INDEX(OFFSET(INDIRECT("v_buffer_hist_hoy!$A$1"),1,MATCH("buh_estatus",INDIRECT("v_buffer_hist_hoy!$1:$1"),0)-1,100000,1),MATCH(CLEAN(TABLATRANSFERENCIA[[#This Row],[CODIGO]]),OFFSET(INDIRECT("v_buffer_hist_hoy!$A$1"),1,MATCH("buh_codigo",INDIRECT("v_buffer_hist_hoy!$1:$1"),0)-1,100000,1),0)),"")</f>
        <v>0</v>
      </c>
      <c r="P11" s="5">
        <f ca="1">IFERROR(INDEX(OFFSET(INDIRECT("v_buffer_hist_hoy!$A$1"),1,MATCH("buh_ctv",INDIRECT("v_buffer_hist_hoy!$1:$1"),0)-1,100000,1),MATCH(CLEAN(TABLATRANSFERENCIA[[#This Row],[CODIGO]]),OFFSET(INDIRECT("v_buffer_hist_hoy!$A$1"),1,MATCH("buh_codigo",INDIRECT("v_buffer_hist_hoy!$1:$1"),0)-1,100000,1),0)),"")</f>
        <v>2.58</v>
      </c>
      <c r="Q11" s="5">
        <f ca="1">IFERROR(INDEX(OFFSET(INDIRECT("v_buffer_hist_hoy!$A$1"),1,MATCH("buh_pv",INDIRECT("v_buffer_hist_hoy!$1:$1"),0)-1,100000,1),MATCH(CLEAN(TABLATRANSFERENCIA[[#This Row],[CODIGO]]),OFFSET(INDIRECT("v_buffer_hist_hoy!$A$1"),1,MATCH("buh_codigo",INDIRECT("v_buffer_hist_hoy!$1:$1"),0)-1,100000,1),0)),"")</f>
        <v>0</v>
      </c>
      <c r="R11" s="46">
        <f ca="1">IFERROR(INDEX(OFFSET(INDIRECT("v_buffer_hist_hoy!$A$1"),1,MATCH("buh_roi_pasado",INDIRECT("v_buffer_hist_hoy!$1:$1"),0)-1,100000,1),MATCH(CLEAN(TABLATRANSFERENCIA[[#This Row],[CODIGO]]),OFFSET(INDIRECT("v_buffer_hist_hoy!$A$1"),1,MATCH("buh_codigo",INDIRECT("v_buffer_hist_hoy!$1:$1"),0)-1,100000,1),0)),"")</f>
        <v>0</v>
      </c>
      <c r="S11" s="46">
        <f ca="1">IFERROR(INDEX(OFFSET(INDIRECT("v_buffer_hist_hoy!$A$1"),1,MATCH("buh_roi_proyectado",INDIRECT("v_buffer_hist_hoy!$1:$1"),0)-1,100000,1),MATCH(CLEAN(TABLATRANSFERENCIA[[#This Row],[CODIGO]]),OFFSET(INDIRECT("v_buffer_hist_hoy!$A$1"),1,MATCH("buh_codigo",INDIRECT("v_buffer_hist_hoy!$1:$1"),0)-1,100000,1),0)),"")</f>
        <v>-3</v>
      </c>
      <c r="T11" s="46">
        <f ca="1">IFERROR(INDEX(OFFSET(INDIRECT("v_buffer_hist_hoy!$A$1"),1,MATCH("buh_velocity",INDIRECT("v_buffer_hist_hoy!$1:$1"),0)-1,100000,1),MATCH(CLEAN(TABLATRANSFERENCIA[[#This Row],[CODIGO]]),OFFSET(INDIRECT("v_buffer_hist_hoy!$A$1"),1,MATCH("buh_codigo",INDIRECT("v_buffer_hist_hoy!$1:$1"),0)-1,100000,1),0)),"")</f>
        <v>0</v>
      </c>
      <c r="U11" s="46">
        <f ca="1">IFERROR(INDEX(OFFSET(INDIRECT("v_buffer_hist_hoy!$A$1"),1,MATCH("buh_nivel_servicio",INDIRECT("v_buffer_hist_hoy!$1:$1"),0)-1,100000,1),MATCH(CLEAN(TABLATRANSFERENCIA[[#This Row],[CODIGO]]),OFFSET(INDIRECT("v_buffer_hist_hoy!$A$1"),1,MATCH("buh_codigo",INDIRECT("v_buffer_hist_hoy!$1:$1"),0)-1,100000,1),0)),"")</f>
        <v>1</v>
      </c>
      <c r="V11" s="49" t="str">
        <f ca="1">IFERROR(INDEX(OFFSET(INDIRECT("v_buffer_hist_hoy!$A$1"),1,MATCH("pro_nombre",INDIRECT("v_buffer_hist_hoy!$1:$1"),0)-1,100000,1),MATCH(CLEAN(TABLATRANSFERENCIA[[#This Row],[CODIGO]]),OFFSET(INDIRECT("v_buffer_hist_hoy!$A$1"),1,MATCH("buh_codigo",INDIRECT("v_buffer_hist_hoy!$1:$1"),0)-1,100000,1),0)),"")</f>
        <v>Sinochem</v>
      </c>
      <c r="W11" s="49" t="str">
        <f ca="1">IFERROR(INDEX(OFFSET(INDIRECT("v_buffer_hist_hoy!$A$1"),1,MATCH("pre_nombre",INDIRECT("v_buffer_hist_hoy!$1:$1"),0)-1,100000,1),MATCH(CLEAN(TABLATRANSFERENCIA[[#This Row],[CODIGO]]),OFFSET(INDIRECT("v_buffer_hist_hoy!$A$1"),1,MATCH("buh_codigo",INDIRECT("v_buffer_hist_hoy!$1:$1"),0)-1,100000,1),0)),"")</f>
        <v>CHINA</v>
      </c>
      <c r="X11" s="51">
        <f ca="1">IFERROR(INDEX(OFFSET(INDIRECT("v_buffer_hist_hoy!$A$1"),1,MATCH("buh_tiempo_suministro",INDIRECT("v_buffer_hist_hoy!$1:$1"),0)-1,100000,1),MATCH(CLEAN(TABLATRANSFERENCIA[[#This Row],[CODIGO]]),OFFSET(INDIRECT("v_buffer_hist_hoy!$A$1"),1,MATCH("buh_codigo",INDIRECT("v_buffer_hist_hoy!$1:$1"),0)-1,100000,1),0)),"")</f>
        <v>12</v>
      </c>
      <c r="Y11" s="51">
        <f ca="1">IFERROR(INDEX(OFFSET(INDIRECT("v_buffer_hist_hoy!$A$1"),1,MATCH("buh_frecuencia_reposicion",INDIRECT("v_buffer_hist_hoy!$1:$1"),0)-1,100000,1),MATCH(CLEAN(TABLATRANSFERENCIA[[#This Row],[CODIGO]]),OFFSET(INDIRECT("v_buffer_hist_hoy!$A$1"),1,MATCH("buh_codigo",INDIRECT("v_buffer_hist_hoy!$1:$1"),0)-1,100000,1),0)),"")</f>
        <v>4</v>
      </c>
      <c r="Z11" s="6">
        <f ca="1">IFERROR(INDEX(OFFSET(INDIRECT("v_buffer_hist_hoy!$A$1"),1,MATCH("buh_buffer_actual",INDIRECT("v_buffer_hist_hoy!$1:$1"),0)-1,100000,1),MATCH(CLEAN(TABLATRANSFERENCIA[[#This Row],[CODIGO]]),OFFSET(INDIRECT("v_buffer_hist_hoy!$A$1"),1,MATCH("buh_codigo",INDIRECT("v_buffer_hist_hoy!$1:$1"),0)-1,100000,1),0)),"")</f>
        <v>10640</v>
      </c>
      <c r="AA11" s="6">
        <f ca="1">IFERROR(INDEX(OFFSET(INDIRECT("v_buffer_hist_hoy!$A$1"),1,MATCH("buh_inventario_fisico",INDIRECT("v_buffer_hist_hoy!$1:$1"),0)-1,100000,1),MATCH(CLEAN(TABLATRANSFERENCIA[[#This Row],[CODIGO]]),OFFSET(INDIRECT("v_buffer_hist_hoy!$A$1"),1,MATCH("buh_codigo",INDIRECT("v_buffer_hist_hoy!$1:$1"),0)-1,100000,1),0)),"")</f>
        <v>5050</v>
      </c>
      <c r="AB11" s="4">
        <f ca="1">IFERROR(INDEX(OFFSET(INDIRECT("v_buffer_hist_hoy!$A$1"),1,MATCH("buh_estado_inventario_fisico",INDIRECT("v_buffer_hist_hoy!$1:$1"),0)-1,100000,1),MATCH(CLEAN(TABLATRANSFERENCIA[[#This Row],[CODIGO]]),OFFSET(INDIRECT("v_buffer_hist_hoy!$A$1"),1,MATCH("buh_codigo",INDIRECT("v_buffer_hist_hoy!$1:$1"),0)-1,100000,1),0)),"")</f>
        <v>0.53</v>
      </c>
      <c r="AC11" s="6" t="str">
        <f ca="1">IFERROR(INDEX(OFFSET(INDIRECT("v_buffer_hist_hoy!$A$1"),1,MATCH("buh_color_inventario_fisico",INDIRECT("v_buffer_hist_hoy!$1:$1"),0)-1,100000,1),MATCH(CLEAN(TABLATRANSFERENCIA[[#This Row],[CODIGO]]),OFFSET(INDIRECT("v_buffer_hist_hoy!$A$1"),1,MATCH("buh_codigo",INDIRECT("v_buffer_hist_hoy!$1:$1"),0)-1,100000,1),0)),"")</f>
        <v>A</v>
      </c>
      <c r="AD11" s="6">
        <f ca="1">IFERROR(INDEX(OFFSET(INDIRECT("v_buffer_hist_hoy!$A$1"),1,MATCH("buh_transito",INDIRECT("v_buffer_hist_hoy!$1:$1"),0)-1,100000,1),MATCH(CLEAN(TABLATRANSFERENCIA[[#This Row],[CODIGO]]),OFFSET(INDIRECT("v_buffer_hist_hoy!$A$1"),1,MATCH("buh_codigo",INDIRECT("v_buffer_hist_hoy!$1:$1"),0)-1,100000,1),0)),"")</f>
        <v>0</v>
      </c>
      <c r="AE11" s="6">
        <f ca="1">IFERROR(INDEX(OFFSET(INDIRECT("v_buffer_hist_hoy!$A$1"),1,MATCH("buh_negociacion",INDIRECT("v_buffer_hist_hoy!$1:$1"),0)-1,100000,1),MATCH(CLEAN(TABLATRANSFERENCIA[[#This Row],[CODIGO]]),OFFSET(INDIRECT("v_buffer_hist_hoy!$A$1"),1,MATCH("buh_codigo",INDIRECT("v_buffer_hist_hoy!$1:$1"),0)-1,100000,1),0)),"")</f>
        <v>0</v>
      </c>
      <c r="AF11" s="6">
        <f ca="1">IFERROR(INDEX(OFFSET(INDIRECT("v_buffer_hist_hoy!$A$1"),1,MATCH("buh_produccion",INDIRECT("v_buffer_hist_hoy!$1:$1"),0)-1,100000,1),MATCH(CLEAN(TABLATRANSFERENCIA[[#This Row],[CODIGO]]),OFFSET(INDIRECT("v_buffer_hist_hoy!$A$1"),1,MATCH("buh_codigo",INDIRECT("v_buffer_hist_hoy!$1:$1"),0)-1,100000,1),0)),"")</f>
        <v>0</v>
      </c>
      <c r="AG11" s="6">
        <f ca="1">IFERROR(INDEX(OFFSET(INDIRECT("v_buffer_hist_hoy!$A$1"),1,MATCH("buh_embarcado",INDIRECT("v_buffer_hist_hoy!$1:$1"),0)-1,100000,1),MATCH(CLEAN(TABLATRANSFERENCIA[[#This Row],[CODIGO]]),OFFSET(INDIRECT("v_buffer_hist_hoy!$A$1"),1,MATCH("buh_codigo",INDIRECT("v_buffer_hist_hoy!$1:$1"),0)-1,100000,1),0)),"")</f>
        <v>0</v>
      </c>
      <c r="AH11" s="6">
        <f ca="1">IFERROR(INDEX(OFFSET(INDIRECT("v_buffer_hist_hoy!$A$1"),1,MATCH("buh_comprometido",INDIRECT("v_buffer_hist_hoy!$1:$1"),0)-1,100000,1),MATCH(CLEAN(TABLATRANSFERENCIA[[#This Row],[CODIGO]]),OFFSET(INDIRECT("v_buffer_hist_hoy!$A$1"),1,MATCH("buh_codigo",INDIRECT("v_buffer_hist_hoy!$1:$1"),0)-1,100000,1),0)),"")</f>
        <v>0</v>
      </c>
      <c r="AI11" s="6">
        <f ca="1">IFERROR(INDEX(OFFSET(INDIRECT("v_buffer_hist_hoy!$A$1"),1,MATCH("buh_backorder",INDIRECT("v_buffer_hist_hoy!$1:$1"),0)-1,100000,1),MATCH(CLEAN(TABLATRANSFERENCIA[[#This Row],[CODIGO]]),OFFSET(INDIRECT("v_buffer_hist_hoy!$A$1"),1,MATCH("buh_codigo",INDIRECT("v_buffer_hist_hoy!$1:$1"),0)-1,100000,1),0)),"")</f>
        <v>0</v>
      </c>
      <c r="AJ11" s="6">
        <f ca="1">IFERROR(INDEX(OFFSET(INDIRECT("v_buffer_hist_hoy!$A$1"),1,MATCH("buh_inventario_proyectado",INDIRECT("v_buffer_hist_hoy!$1:$1"),0)-1,100000,1),MATCH(CLEAN(TABLATRANSFERENCIA[[#This Row],[CODIGO]]),OFFSET(INDIRECT("v_buffer_hist_hoy!$A$1"),1,MATCH("buh_codigo",INDIRECT("v_buffer_hist_hoy!$1:$1"),0)-1,100000,1),0)),"")</f>
        <v>5050</v>
      </c>
      <c r="AK11" s="4">
        <f ca="1">IFERROR(INDEX(OFFSET(INDIRECT("v_buffer_hist_hoy!$A$1"),1,MATCH("buh_estado_inventario_proyectado",INDIRECT("v_buffer_hist_hoy!$1:$1"),0)-1,100000,1),MATCH(CLEAN(TABLATRANSFERENCIA[[#This Row],[CODIGO]]),OFFSET(INDIRECT("v_buffer_hist_hoy!$A$1"),1,MATCH("buh_codigo",INDIRECT("v_buffer_hist_hoy!$1:$1"),0)-1,100000,1),0)),"")</f>
        <v>0.53</v>
      </c>
      <c r="AL11" s="6" t="str">
        <f ca="1">IFERROR(INDEX(OFFSET(INDIRECT("v_buffer_hist_hoy!$A$1"),1,MATCH("buh_color_inventario_proyectado",INDIRECT("v_buffer_hist_hoy!$1:$1"),0)-1,100000,1),MATCH(CLEAN(TABLATRANSFERENCIA[[#This Row],[CODIGO]]),OFFSET(INDIRECT("v_buffer_hist_hoy!$A$1"),1,MATCH("buh_codigo",INDIRECT("v_buffer_hist_hoy!$1:$1"),0)-1,100000,1),0)),"")</f>
        <v>A</v>
      </c>
      <c r="AM11" s="6">
        <f ca="1">IFERROR(INDEX(OFFSET(INDIRECT("v_buffer_hist_hoy!$A$1"),1,MATCH("buh_pedido_minimo",INDIRECT("v_buffer_hist_hoy!$1:$1"),0)-1,100000,1),MATCH(CLEAN(TABLATRANSFERENCIA[[#This Row],[CODIGO]]),OFFSET(INDIRECT("v_buffer_hist_hoy!$A$1"),1,MATCH("buh_codigo",INDIRECT("v_buffer_hist_hoy!$1:$1"),0)-1,100000,1),0)),"")</f>
        <v>0</v>
      </c>
      <c r="AN11" s="6">
        <f ca="1">IFERROR(INDEX(OFFSET(INDIRECT("v_buffer_hist_hoy!$A$1"),1,MATCH("buh_pedido_minimo_grupo",INDIRECT("v_buffer_hist_hoy!$1:$1"),0)-1,100000,1),MATCH(CLEAN(TABLATRANSFERENCIA[[#This Row],[CODIGO]]),OFFSET(INDIRECT("v_buffer_hist_hoy!$A$1"),1,MATCH("buh_codigo",INDIRECT("v_buffer_hist_hoy!$1:$1"),0)-1,100000,1),0)),"")</f>
        <v>0</v>
      </c>
      <c r="AO11" s="6">
        <f ca="1">IFERROR(INDEX(OFFSET(INDIRECT("v_buffer_hist_hoy!$A$1"),1,MATCH("buh_unidad_empaque",INDIRECT("v_buffer_hist_hoy!$1:$1"),0)-1,100000,1),MATCH(CLEAN(TABLATRANSFERENCIA[[#This Row],[CODIGO]]),OFFSET(INDIRECT("v_buffer_hist_hoy!$A$1"),1,MATCH("buh_codigo",INDIRECT("v_buffer_hist_hoy!$1:$1"),0)-1,100000,1),0)),"")</f>
        <v>0</v>
      </c>
      <c r="AP11" s="6">
        <f ca="1">IFERROR(INDEX(OFFSET(INDIRECT("v_buffer_hist_hoy!$A$1"),1,MATCH("buh_pedido_promedio",INDIRECT("v_buffer_hist_hoy!$1:$1"),0)-1,100000,1),MATCH(CLEAN(TABLATRANSFERENCIA[[#This Row],[CODIGO]]),OFFSET(INDIRECT("v_buffer_hist_hoy!$A$1"),1,MATCH("buh_codigo",INDIRECT("v_buffer_hist_hoy!$1:$1"),0)-1,100000,1),0)),"")</f>
        <v>2660</v>
      </c>
      <c r="AQ11" s="6">
        <f ca="1">IFERROR(INDEX(OFFSET(INDIRECT("v_buffer_hist_hoy!$A$1"),1,MATCH("buh_cobertura_buffer",INDIRECT("v_buffer_hist_hoy!$1:$1"),0)-1,100000,1),MATCH(CLEAN(TABLATRANSFERENCIA[[#This Row],[CODIGO]]),OFFSET(INDIRECT("v_buffer_hist_hoy!$A$1"),1,MATCH("buh_codigo",INDIRECT("v_buffer_hist_hoy!$1:$1"),0)-1,100000,1),0)),"")</f>
        <v>0</v>
      </c>
      <c r="AR11" s="6">
        <f ca="1">IFERROR(INDEX(OFFSET(INDIRECT("v_buffer_hist_hoy!$A$1"),1,MATCH("buh_cobertura_inventario_proyectado",INDIRECT("v_buffer_hist_hoy!$1:$1"),0)-1,100000,1),MATCH(CLEAN(TABLATRANSFERENCIA[[#This Row],[CODIGO]]),OFFSET(INDIRECT("v_buffer_hist_hoy!$A$1"),1,MATCH("buh_codigo",INDIRECT("v_buffer_hist_hoy!$1:$1"),0)-1,100000,1),0)),"")</f>
        <v>0</v>
      </c>
      <c r="AS11" s="6">
        <f ca="1">IFERROR(INDEX(OFFSET(INDIRECT("v_buffer_hist_hoy!$A$1"),1,MATCH("buh_cobertura_pedido_minimo",INDIRECT("v_buffer_hist_hoy!$1:$1"),0)-1,100000,1),MATCH(CLEAN(TABLATRANSFERENCIA[[#This Row],[CODIGO]]),OFFSET(INDIRECT("v_buffer_hist_hoy!$A$1"),1,MATCH("buh_codigo",INDIRECT("v_buffer_hist_hoy!$1:$1"),0)-1,100000,1),0)),"")</f>
        <v>0</v>
      </c>
      <c r="AT11" s="6">
        <f ca="1">IFERROR(INDEX(OFFSET(INDIRECT("v_buffer_hist_hoy!$A$1"),1,MATCH("buh_dias_desabastecimiento",INDIRECT("v_buffer_hist_hoy!$1:$1"),0)-1,100000,1),MATCH(CLEAN(TABLATRANSFERENCIA[[#This Row],[CODIGO]]),OFFSET(INDIRECT("v_buffer_hist_hoy!$A$1"),1,MATCH("buh_codigo",INDIRECT("v_buffer_hist_hoy!$1:$1"),0)-1,100000,1),0)),"")</f>
        <v>2</v>
      </c>
      <c r="AU11" s="6">
        <f t="array" ref="AU11">IFERROR(INDEX(Datos_Consumo[CANTIDAD],MATCH(TABLATRANSFERENCIA[[#This Row],[CODIGO]]&amp;TABLATRANSFERENCIA[[#Headers],[Columna1]],Datos_Consumo[CODIGO]&amp;Datos_Consumo[FECHA_FORMATO],0)),0)</f>
        <v>0</v>
      </c>
      <c r="AV11" s="6">
        <f t="array" ref="AV11">IFERROR(INDEX(Datos_Consumo[CANTIDAD],MATCH(TABLATRANSFERENCIA[[#This Row],[CODIGO]]&amp;TABLATRANSFERENCIA[[#Headers],[Columna2]],Datos_Consumo[CODIGO]&amp;Datos_Consumo[FECHA_FORMATO],0)),0)</f>
        <v>0</v>
      </c>
      <c r="AW11" s="6">
        <f t="array" ref="AW11">IFERROR(INDEX(Datos_Consumo[CANTIDAD],MATCH(TABLATRANSFERENCIA[[#This Row],[CODIGO]]&amp;TABLATRANSFERENCIA[[#Headers],[Columna3]],Datos_Consumo[CODIGO]&amp;Datos_Consumo[FECHA_FORMATO],0)),0)</f>
        <v>0</v>
      </c>
      <c r="AX11" s="6">
        <f t="array" ref="AX11">IFERROR(INDEX(Datos_Consumo[CANTIDAD],MATCH(TABLATRANSFERENCIA[[#This Row],[CODIGO]]&amp;TABLATRANSFERENCIA[[#Headers],[Columna4]],Datos_Consumo[CODIGO]&amp;Datos_Consumo[FECHA_FORMATO],0)),0)</f>
        <v>0</v>
      </c>
      <c r="AY11" s="6">
        <f t="array" ref="AY11">IFERROR(INDEX(Datos_Consumo[CANTIDAD],MATCH(TABLATRANSFERENCIA[[#This Row],[CODIGO]]&amp;TABLATRANSFERENCIA[[#Headers],[Columna5]],Datos_Consumo[CODIGO]&amp;Datos_Consumo[FECHA_FORMATO],0)),0)</f>
        <v>0</v>
      </c>
      <c r="AZ11" s="6">
        <f t="array" ref="AZ11">IFERROR(INDEX(Datos_Consumo[CANTIDAD],MATCH(TABLATRANSFERENCIA[[#This Row],[CODIGO]]&amp;TABLATRANSFERENCIA[[#Headers],[Columna6]],Datos_Consumo[CODIGO]&amp;Datos_Consumo[FECHA_FORMATO],0)),0)</f>
        <v>0</v>
      </c>
      <c r="BA11" s="54">
        <f ca="1">IFERROR(INDEX(OFFSET(INDIRECT("v_buffer_hist_hoy!$A$1"),1,MATCH("buh_ultima_transferencia_ini",INDIRECT("v_buffer_hist_hoy!$1:$1"),0)-1,100000,1),MATCH(CLEAN(TABLATRANSFERENCIA[[#This Row],[CODIGO]]),OFFSET(INDIRECT("v_buffer_hist_hoy!$A$1"),1,MATCH("buh_codigo",INDIRECT("v_buffer_hist_hoy!$1:$1"),0)-1,100000,1),0)),"")</f>
        <v>0</v>
      </c>
      <c r="BB11" s="54">
        <f ca="1">IFERROR(INDEX(OFFSET(INDIRECT("v_buffer_hist_hoy!$A$1"),1,MATCH("buh_ultima_transferencia_fin",INDIRECT("v_buffer_hist_hoy!$1:$1"),0)-1,100000,1),MATCH(CLEAN(TABLATRANSFERENCIA[[#This Row],[CODIGO]]),OFFSET(INDIRECT("v_buffer_hist_hoy!$A$1"),1,MATCH("buh_codigo",INDIRECT("v_buffer_hist_hoy!$1:$1"),0)-1,100000,1),0)),"")</f>
        <v>0</v>
      </c>
      <c r="BC11" s="63">
        <v>3000</v>
      </c>
      <c r="BD11" s="67">
        <v>3000</v>
      </c>
      <c r="BE11" s="51"/>
      <c r="BF11" s="51">
        <f>IF(RIGHT(TABLATRANSFERENCIA[[#Headers],[Emb1]],1)*1&lt;=TABLATRANSFERENCIA[[#This Row],[EMBARQUES]],IF(ISBLANK(TABLATRANSFERENCIA[[#This Row],[EMBARQUES]]),TABLATRANSFERENCIA[[#This Row],[REQUERIM]],ROUND(TABLATRANSFERENCIA[[#This Row],[REQUERIM]]/TABLATRANSFERENCIA[[#This Row],[EMBARQUES]],0)),TABLATRANSFERENCIA[[#This Row],[REQUERIM]])</f>
        <v>3000</v>
      </c>
      <c r="BG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1" s="51"/>
      <c r="BL11" s="46">
        <f ca="1">IFERROR(TABLATRANSFERENCIA[[#This Row],[REQUERIM]]/TABLATRANSFERENCIA[[#This Row],[PEDIDO PROMEDIO]],0)</f>
        <v>1.1278195488721805</v>
      </c>
      <c r="BM11" s="71">
        <v>3000</v>
      </c>
      <c r="BN11" s="58"/>
      <c r="BO11" s="3">
        <f>IF(TABLATRANSFERENCIA[[#This Row],[RECIBIDO]]&lt;&gt;"",0,IF(TABLATRANSFERENCIA[[#This Row],[DESPACHO]]&lt;&gt;"",TABLATRANSFERENCIA[[#This Row],[DESPACHO]],TABLATRANSFERENCIA[[#This Row],[REQUERIM]]))</f>
        <v>3000</v>
      </c>
      <c r="BP11" s="50"/>
      <c r="BQ11" s="50"/>
      <c r="BR11" s="50" t="str">
        <f>"N"</f>
        <v>N</v>
      </c>
      <c r="BS11" s="51">
        <f t="array" aca="1" ref="BS11" ca="1">IF(SUM(--(TABLATRANSFERENCIA[[#This Row],[CODIGO GENERICO]]=TABLATRANSFERENCIA[CODIGO GENERICO])*TABLATRANSFERENCIA[REQUERIM])&lt;TABLATRANSFERENCIA[[#This Row],[PEDIDO MIN GRUPO]],1,0)</f>
        <v>0</v>
      </c>
      <c r="BT1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11" s="51">
        <f ca="1">IFERROR(INDEX(OFFSET(INDIRECT("v_buffer_hist_hoy!$A$1"),1,MATCH("buh_zona_amarilla",INDIRECT("v_buffer_hist_hoy!$1:$1"),0)-1,100000,1),MATCH(CLEAN(TABLATRANSFERENCIA[[#This Row],[CODIGO]]),OFFSET(INDIRECT("v_buffer_hist_hoy!$A$1"),1,MATCH("buh_codigo",INDIRECT("v_buffer_hist_hoy!$1:$1"),0)-1,100000,1),0)),"")</f>
        <v>7076</v>
      </c>
      <c r="BV11" s="51">
        <f ca="1">IFERROR(INDEX(OFFSET(INDIRECT("v_buffer_hist_hoy!$A$1"),1,MATCH("buh_zona_roja",INDIRECT("v_buffer_hist_hoy!$1:$1"),0)-1,100000,1),MATCH(CLEAN(TABLATRANSFERENCIA[[#This Row],[CODIGO]]),OFFSET(INDIRECT("v_buffer_hist_hoy!$A$1"),1,MATCH("buh_codigo",INDIRECT("v_buffer_hist_hoy!$1:$1"),0)-1,100000,1),0)),"")</f>
        <v>3511</v>
      </c>
    </row>
    <row r="12" spans="1:74" x14ac:dyDescent="0.25">
      <c r="A12" s="59" t="s">
        <v>1285</v>
      </c>
      <c r="B12" s="3" t="str">
        <f ca="1">IFERROR(INDEX(OFFSET(INDIRECT("v_buffer_hist_hoy!$A$1"),1,MATCH("pro_descripcion",INDIRECT("v_buffer_hist_hoy!$1:$1"),0)-1,100000,1),MATCH(CLEAN(TABLATRANSFERENCIA[[#This Row],[CODIGO]]),OFFSET(INDIRECT("v_buffer_hist_hoy!$A$1"),1,MATCH("buh_codigo",INDIRECT("v_buffer_hist_hoy!$1:$1"),0)-1,100000,1),0)),"")</f>
        <v>DIFENOCONAZOLE 25% EC x 100CC</v>
      </c>
      <c r="C12" s="3" t="str">
        <f ca="1">IFERROR(INDEX(OFFSET(INDIRECT("v_buffer_hist_hoy!$A$1"),1,MATCH("buh_codigo_generico",INDIRECT("v_buffer_hist_hoy!$1:$1"),0)-1,100000,1),MATCH(CLEAN(TABLATRANSFERENCIA[[#This Row],[CODIGO]]),OFFSET(INDIRECT("v_buffer_hist_hoy!$A$1"),1,MATCH("buh_codigo",INDIRECT("v_buffer_hist_hoy!$1:$1"),0)-1,100000,1),0)),"")</f>
        <v>0</v>
      </c>
      <c r="D12" s="3" t="str">
        <f ca="1">IFERROR(INDEX(OFFSET(INDIRECT("v_buffer_hist_hoy!$A$1"),1,MATCH("buh_codigo_vinculado",INDIRECT("v_buffer_hist_hoy!$1:$1"),0)-1,100000,1),MATCH(CLEAN(TABLATRANSFERENCIA[[#This Row],[CODIGO]]),OFFSET(INDIRECT("v_buffer_hist_hoy!$A$1"),1,MATCH("buh_codigo",INDIRECT("v_buffer_hist_hoy!$1:$1"),0)-1,100000,1),0)),"")</f>
        <v>MPFUCODIF-100CC</v>
      </c>
      <c r="E12" s="3" t="str">
        <f ca="1">IFERROR(INDEX(OFFSET(INDIRECT("v_buffer_hist_hoy!$A$1"),1,MATCH("pro_linea",INDIRECT("v_buffer_hist_hoy!$1:$1"),0)-1,100000,1),MATCH(CLEAN(TABLATRANSFERENCIA[[#This Row],[CODIGO]]),OFFSET(INDIRECT("v_buffer_hist_hoy!$A$1"),1,MATCH("buh_codigo",INDIRECT("v_buffer_hist_hoy!$1:$1"),0)-1,100000,1),0)),"")</f>
        <v>PLAGUICIDAS CONVENCIONALES</v>
      </c>
      <c r="F12" s="3">
        <f ca="1">IFERROR(INDEX(OFFSET(INDIRECT("v_buffer_hist_hoy!$A$1"),1,MATCH("pro_sublinea",INDIRECT("v_buffer_hist_hoy!$1:$1"),0)-1,100000,1),MATCH(CLEAN(TABLATRANSFERENCIA[[#This Row],[CODIGO]]),OFFSET(INDIRECT("v_buffer_hist_hoy!$A$1"),1,MATCH("buh_codigo",INDIRECT("v_buffer_hist_hoy!$1:$1"),0)-1,100000,1),0)),"")</f>
        <v>0</v>
      </c>
      <c r="G12" s="3" t="str">
        <f ca="1">IFERROR(INDEX(OFFSET(INDIRECT("v_buffer_hist_hoy!$A$1"),1,MATCH("pro_grupo",INDIRECT("v_buffer_hist_hoy!$1:$1"),0)-1,100000,1),MATCH(CLEAN(TABLATRANSFERENCIA[[#This Row],[CODIGO]]),OFFSET(INDIRECT("v_buffer_hist_hoy!$A$1"),1,MATCH("buh_codigo",INDIRECT("v_buffer_hist_hoy!$1:$1"),0)-1,100000,1),0)),"")</f>
        <v>DIFENOCONAZOLE 25% EC</v>
      </c>
      <c r="H12" s="3">
        <f ca="1">IFERROR(INDEX(OFFSET(INDIRECT("v_buffer_hist_hoy!$A$1"),1,MATCH("pro_familia",INDIRECT("v_buffer_hist_hoy!$1:$1"),0)-1,100000,1),MATCH(CLEAN(TABLATRANSFERENCIA[[#This Row],[CODIGO]]),OFFSET(INDIRECT("v_buffer_hist_hoy!$A$1"),1,MATCH("buh_codigo",INDIRECT("v_buffer_hist_hoy!$1:$1"),0)-1,100000,1),0)),"")</f>
        <v>0</v>
      </c>
      <c r="I12" s="3">
        <f ca="1">IFERROR(INDEX(OFFSET(INDIRECT("v_buffer_hist_hoy!$A$1"),1,MATCH("pro_subfamilia",INDIRECT("v_buffer_hist_hoy!$1:$1"),0)-1,100000,1),MATCH(CLEAN(TABLATRANSFERENCIA[[#This Row],[CODIGO]]),OFFSET(INDIRECT("v_buffer_hist_hoy!$A$1"),1,MATCH("buh_codigo",INDIRECT("v_buffer_hist_hoy!$1:$1"),0)-1,100000,1),0)),"")</f>
        <v>0</v>
      </c>
      <c r="J12" s="3" t="str">
        <f ca="1">IFERROR(INDEX(OFFSET(INDIRECT("v_buffer_hist_hoy!$A$1"),1,MATCH("pro_categoria",INDIRECT("v_buffer_hist_hoy!$1:$1"),0)-1,100000,1),MATCH(CLEAN(TABLATRANSFERENCIA[[#This Row],[CODIGO]]),OFFSET(INDIRECT("v_buffer_hist_hoy!$A$1"),1,MATCH("buh_codigo",INDIRECT("v_buffer_hist_hoy!$1:$1"),0)-1,100000,1),0)),"")</f>
        <v>FUNGICIDA</v>
      </c>
      <c r="K12" s="3">
        <f ca="1">IFERROR(INDEX(OFFSET(INDIRECT("v_buffer_hist_hoy!$A$1"),1,MATCH("pro_tipo",INDIRECT("v_buffer_hist_hoy!$1:$1"),0)-1,100000,1),MATCH(CLEAN(TABLATRANSFERENCIA[[#This Row],[CODIGO]]),OFFSET(INDIRECT("v_buffer_hist_hoy!$A$1"),1,MATCH("buh_codigo",INDIRECT("v_buffer_hist_hoy!$1:$1"),0)-1,100000,1),0)),"")</f>
        <v>0</v>
      </c>
      <c r="L12" s="3" t="str">
        <f ca="1">IFERROR(INDEX(OFFSET(INDIRECT("v_buffer_hist_hoy!$A$1"),1,MATCH("pro_marca",INDIRECT("v_buffer_hist_hoy!$1:$1"),0)-1,100000,1),MATCH(CLEAN(TABLATRANSFERENCIA[[#This Row],[CODIGO]]),OFFSET(INDIRECT("v_buffer_hist_hoy!$A$1"),1,MATCH("buh_codigo",INDIRECT("v_buffer_hist_hoy!$1:$1"),0)-1,100000,1),0)),"")</f>
        <v>SINOCHEM</v>
      </c>
      <c r="M12" s="3">
        <f ca="1">IFERROR(INDEX(OFFSET(INDIRECT("v_buffer_hist_hoy!$A$1"),1,MATCH("pro_modelo",INDIRECT("v_buffer_hist_hoy!$1:$1"),0)-1,100000,1),MATCH(CLEAN(TABLATRANSFERENCIA[[#This Row],[CODIGO]]),OFFSET(INDIRECT("v_buffer_hist_hoy!$A$1"),1,MATCH("buh_codigo",INDIRECT("v_buffer_hist_hoy!$1:$1"),0)-1,100000,1),0)),"")</f>
        <v>0</v>
      </c>
      <c r="N12" s="3">
        <f ca="1">IFERROR(INDEX(OFFSET(INDIRECT("v_buffer_hist_hoy!$A$1"),1,MATCH("pro_cat_management",INDIRECT("v_buffer_hist_hoy!$1:$1"),0)-1,100000,1),MATCH(CLEAN(TABLATRANSFERENCIA[[#This Row],[CODIGO]]),OFFSET(INDIRECT("v_buffer_hist_hoy!$A$1"),1,MATCH("buh_codigo",INDIRECT("v_buffer_hist_hoy!$1:$1"),0)-1,100000,1),0)),"")</f>
        <v>0</v>
      </c>
      <c r="O12" s="5" t="str">
        <f ca="1">IFERROR(INDEX(OFFSET(INDIRECT("v_buffer_hist_hoy!$A$1"),1,MATCH("buh_estatus",INDIRECT("v_buffer_hist_hoy!$1:$1"),0)-1,100000,1),MATCH(CLEAN(TABLATRANSFERENCIA[[#This Row],[CODIGO]]),OFFSET(INDIRECT("v_buffer_hist_hoy!$A$1"),1,MATCH("buh_codigo",INDIRECT("v_buffer_hist_hoy!$1:$1"),0)-1,100000,1),0)),"")</f>
        <v>0</v>
      </c>
      <c r="P12" s="5">
        <f ca="1">IFERROR(INDEX(OFFSET(INDIRECT("v_buffer_hist_hoy!$A$1"),1,MATCH("buh_ctv",INDIRECT("v_buffer_hist_hoy!$1:$1"),0)-1,100000,1),MATCH(CLEAN(TABLATRANSFERENCIA[[#This Row],[CODIGO]]),OFFSET(INDIRECT("v_buffer_hist_hoy!$A$1"),1,MATCH("buh_codigo",INDIRECT("v_buffer_hist_hoy!$1:$1"),0)-1,100000,1),0)),"")</f>
        <v>1.94</v>
      </c>
      <c r="Q12" s="5">
        <f ca="1">IFERROR(INDEX(OFFSET(INDIRECT("v_buffer_hist_hoy!$A$1"),1,MATCH("buh_pv",INDIRECT("v_buffer_hist_hoy!$1:$1"),0)-1,100000,1),MATCH(CLEAN(TABLATRANSFERENCIA[[#This Row],[CODIGO]]),OFFSET(INDIRECT("v_buffer_hist_hoy!$A$1"),1,MATCH("buh_codigo",INDIRECT("v_buffer_hist_hoy!$1:$1"),0)-1,100000,1),0)),"")</f>
        <v>0</v>
      </c>
      <c r="R12" s="46">
        <f ca="1">IFERROR(INDEX(OFFSET(INDIRECT("v_buffer_hist_hoy!$A$1"),1,MATCH("buh_roi_pasado",INDIRECT("v_buffer_hist_hoy!$1:$1"),0)-1,100000,1),MATCH(CLEAN(TABLATRANSFERENCIA[[#This Row],[CODIGO]]),OFFSET(INDIRECT("v_buffer_hist_hoy!$A$1"),1,MATCH("buh_codigo",INDIRECT("v_buffer_hist_hoy!$1:$1"),0)-1,100000,1),0)),"")</f>
        <v>0</v>
      </c>
      <c r="S12" s="46">
        <f ca="1">IFERROR(INDEX(OFFSET(INDIRECT("v_buffer_hist_hoy!$A$1"),1,MATCH("buh_roi_proyectado",INDIRECT("v_buffer_hist_hoy!$1:$1"),0)-1,100000,1),MATCH(CLEAN(TABLATRANSFERENCIA[[#This Row],[CODIGO]]),OFFSET(INDIRECT("v_buffer_hist_hoy!$A$1"),1,MATCH("buh_codigo",INDIRECT("v_buffer_hist_hoy!$1:$1"),0)-1,100000,1),0)),"")</f>
        <v>-3</v>
      </c>
      <c r="T12" s="46">
        <f ca="1">IFERROR(INDEX(OFFSET(INDIRECT("v_buffer_hist_hoy!$A$1"),1,MATCH("buh_velocity",INDIRECT("v_buffer_hist_hoy!$1:$1"),0)-1,100000,1),MATCH(CLEAN(TABLATRANSFERENCIA[[#This Row],[CODIGO]]),OFFSET(INDIRECT("v_buffer_hist_hoy!$A$1"),1,MATCH("buh_codigo",INDIRECT("v_buffer_hist_hoy!$1:$1"),0)-1,100000,1),0)),"")</f>
        <v>0</v>
      </c>
      <c r="U12" s="46">
        <f ca="1">IFERROR(INDEX(OFFSET(INDIRECT("v_buffer_hist_hoy!$A$1"),1,MATCH("buh_nivel_servicio",INDIRECT("v_buffer_hist_hoy!$1:$1"),0)-1,100000,1),MATCH(CLEAN(TABLATRANSFERENCIA[[#This Row],[CODIGO]]),OFFSET(INDIRECT("v_buffer_hist_hoy!$A$1"),1,MATCH("buh_codigo",INDIRECT("v_buffer_hist_hoy!$1:$1"),0)-1,100000,1),0)),"")</f>
        <v>1</v>
      </c>
      <c r="V12" s="49" t="str">
        <f ca="1">IFERROR(INDEX(OFFSET(INDIRECT("v_buffer_hist_hoy!$A$1"),1,MATCH("pro_nombre",INDIRECT("v_buffer_hist_hoy!$1:$1"),0)-1,100000,1),MATCH(CLEAN(TABLATRANSFERENCIA[[#This Row],[CODIGO]]),OFFSET(INDIRECT("v_buffer_hist_hoy!$A$1"),1,MATCH("buh_codigo",INDIRECT("v_buffer_hist_hoy!$1:$1"),0)-1,100000,1),0)),"")</f>
        <v>Sinochem</v>
      </c>
      <c r="W12" s="49" t="str">
        <f ca="1">IFERROR(INDEX(OFFSET(INDIRECT("v_buffer_hist_hoy!$A$1"),1,MATCH("pre_nombre",INDIRECT("v_buffer_hist_hoy!$1:$1"),0)-1,100000,1),MATCH(CLEAN(TABLATRANSFERENCIA[[#This Row],[CODIGO]]),OFFSET(INDIRECT("v_buffer_hist_hoy!$A$1"),1,MATCH("buh_codigo",INDIRECT("v_buffer_hist_hoy!$1:$1"),0)-1,100000,1),0)),"")</f>
        <v>CHINA</v>
      </c>
      <c r="X12" s="51">
        <f ca="1">IFERROR(INDEX(OFFSET(INDIRECT("v_buffer_hist_hoy!$A$1"),1,MATCH("buh_tiempo_suministro",INDIRECT("v_buffer_hist_hoy!$1:$1"),0)-1,100000,1),MATCH(CLEAN(TABLATRANSFERENCIA[[#This Row],[CODIGO]]),OFFSET(INDIRECT("v_buffer_hist_hoy!$A$1"),1,MATCH("buh_codigo",INDIRECT("v_buffer_hist_hoy!$1:$1"),0)-1,100000,1),0)),"")</f>
        <v>12</v>
      </c>
      <c r="Y12" s="51">
        <f ca="1">IFERROR(INDEX(OFFSET(INDIRECT("v_buffer_hist_hoy!$A$1"),1,MATCH("buh_frecuencia_reposicion",INDIRECT("v_buffer_hist_hoy!$1:$1"),0)-1,100000,1),MATCH(CLEAN(TABLATRANSFERENCIA[[#This Row],[CODIGO]]),OFFSET(INDIRECT("v_buffer_hist_hoy!$A$1"),1,MATCH("buh_codigo",INDIRECT("v_buffer_hist_hoy!$1:$1"),0)-1,100000,1),0)),"")</f>
        <v>4</v>
      </c>
      <c r="Z12" s="6">
        <f ca="1">IFERROR(INDEX(OFFSET(INDIRECT("v_buffer_hist_hoy!$A$1"),1,MATCH("buh_buffer_actual",INDIRECT("v_buffer_hist_hoy!$1:$1"),0)-1,100000,1),MATCH(CLEAN(TABLATRANSFERENCIA[[#This Row],[CODIGO]]),OFFSET(INDIRECT("v_buffer_hist_hoy!$A$1"),1,MATCH("buh_codigo",INDIRECT("v_buffer_hist_hoy!$1:$1"),0)-1,100000,1),0)),"")</f>
        <v>5500</v>
      </c>
      <c r="AA12" s="6">
        <f ca="1">IFERROR(INDEX(OFFSET(INDIRECT("v_buffer_hist_hoy!$A$1"),1,MATCH("buh_inventario_fisico",INDIRECT("v_buffer_hist_hoy!$1:$1"),0)-1,100000,1),MATCH(CLEAN(TABLATRANSFERENCIA[[#This Row],[CODIGO]]),OFFSET(INDIRECT("v_buffer_hist_hoy!$A$1"),1,MATCH("buh_codigo",INDIRECT("v_buffer_hist_hoy!$1:$1"),0)-1,100000,1),0)),"")</f>
        <v>2350</v>
      </c>
      <c r="AB12" s="4">
        <f ca="1">IFERROR(INDEX(OFFSET(INDIRECT("v_buffer_hist_hoy!$A$1"),1,MATCH("buh_estado_inventario_fisico",INDIRECT("v_buffer_hist_hoy!$1:$1"),0)-1,100000,1),MATCH(CLEAN(TABLATRANSFERENCIA[[#This Row],[CODIGO]]),OFFSET(INDIRECT("v_buffer_hist_hoy!$A$1"),1,MATCH("buh_codigo",INDIRECT("v_buffer_hist_hoy!$1:$1"),0)-1,100000,1),0)),"")</f>
        <v>0.56999999999999995</v>
      </c>
      <c r="AC12" s="6" t="str">
        <f ca="1">IFERROR(INDEX(OFFSET(INDIRECT("v_buffer_hist_hoy!$A$1"),1,MATCH("buh_color_inventario_fisico",INDIRECT("v_buffer_hist_hoy!$1:$1"),0)-1,100000,1),MATCH(CLEAN(TABLATRANSFERENCIA[[#This Row],[CODIGO]]),OFFSET(INDIRECT("v_buffer_hist_hoy!$A$1"),1,MATCH("buh_codigo",INDIRECT("v_buffer_hist_hoy!$1:$1"),0)-1,100000,1),0)),"")</f>
        <v>A</v>
      </c>
      <c r="AD12" s="6">
        <f ca="1">IFERROR(INDEX(OFFSET(INDIRECT("v_buffer_hist_hoy!$A$1"),1,MATCH("buh_transito",INDIRECT("v_buffer_hist_hoy!$1:$1"),0)-1,100000,1),MATCH(CLEAN(TABLATRANSFERENCIA[[#This Row],[CODIGO]]),OFFSET(INDIRECT("v_buffer_hist_hoy!$A$1"),1,MATCH("buh_codigo",INDIRECT("v_buffer_hist_hoy!$1:$1"),0)-1,100000,1),0)),"")</f>
        <v>0</v>
      </c>
      <c r="AE12" s="6">
        <f ca="1">IFERROR(INDEX(OFFSET(INDIRECT("v_buffer_hist_hoy!$A$1"),1,MATCH("buh_negociacion",INDIRECT("v_buffer_hist_hoy!$1:$1"),0)-1,100000,1),MATCH(CLEAN(TABLATRANSFERENCIA[[#This Row],[CODIGO]]),OFFSET(INDIRECT("v_buffer_hist_hoy!$A$1"),1,MATCH("buh_codigo",INDIRECT("v_buffer_hist_hoy!$1:$1"),0)-1,100000,1),0)),"")</f>
        <v>0</v>
      </c>
      <c r="AF12" s="6">
        <f ca="1">IFERROR(INDEX(OFFSET(INDIRECT("v_buffer_hist_hoy!$A$1"),1,MATCH("buh_produccion",INDIRECT("v_buffer_hist_hoy!$1:$1"),0)-1,100000,1),MATCH(CLEAN(TABLATRANSFERENCIA[[#This Row],[CODIGO]]),OFFSET(INDIRECT("v_buffer_hist_hoy!$A$1"),1,MATCH("buh_codigo",INDIRECT("v_buffer_hist_hoy!$1:$1"),0)-1,100000,1),0)),"")</f>
        <v>0</v>
      </c>
      <c r="AG12" s="6">
        <f ca="1">IFERROR(INDEX(OFFSET(INDIRECT("v_buffer_hist_hoy!$A$1"),1,MATCH("buh_embarcado",INDIRECT("v_buffer_hist_hoy!$1:$1"),0)-1,100000,1),MATCH(CLEAN(TABLATRANSFERENCIA[[#This Row],[CODIGO]]),OFFSET(INDIRECT("v_buffer_hist_hoy!$A$1"),1,MATCH("buh_codigo",INDIRECT("v_buffer_hist_hoy!$1:$1"),0)-1,100000,1),0)),"")</f>
        <v>0</v>
      </c>
      <c r="AH12" s="6">
        <f ca="1">IFERROR(INDEX(OFFSET(INDIRECT("v_buffer_hist_hoy!$A$1"),1,MATCH("buh_comprometido",INDIRECT("v_buffer_hist_hoy!$1:$1"),0)-1,100000,1),MATCH(CLEAN(TABLATRANSFERENCIA[[#This Row],[CODIGO]]),OFFSET(INDIRECT("v_buffer_hist_hoy!$A$1"),1,MATCH("buh_codigo",INDIRECT("v_buffer_hist_hoy!$1:$1"),0)-1,100000,1),0)),"")</f>
        <v>0</v>
      </c>
      <c r="AI12" s="6">
        <f ca="1">IFERROR(INDEX(OFFSET(INDIRECT("v_buffer_hist_hoy!$A$1"),1,MATCH("buh_backorder",INDIRECT("v_buffer_hist_hoy!$1:$1"),0)-1,100000,1),MATCH(CLEAN(TABLATRANSFERENCIA[[#This Row],[CODIGO]]),OFFSET(INDIRECT("v_buffer_hist_hoy!$A$1"),1,MATCH("buh_codigo",INDIRECT("v_buffer_hist_hoy!$1:$1"),0)-1,100000,1),0)),"")</f>
        <v>0</v>
      </c>
      <c r="AJ12" s="6">
        <f ca="1">IFERROR(INDEX(OFFSET(INDIRECT("v_buffer_hist_hoy!$A$1"),1,MATCH("buh_inventario_proyectado",INDIRECT("v_buffer_hist_hoy!$1:$1"),0)-1,100000,1),MATCH(CLEAN(TABLATRANSFERENCIA[[#This Row],[CODIGO]]),OFFSET(INDIRECT("v_buffer_hist_hoy!$A$1"),1,MATCH("buh_codigo",INDIRECT("v_buffer_hist_hoy!$1:$1"),0)-1,100000,1),0)),"")</f>
        <v>2350</v>
      </c>
      <c r="AK12" s="4">
        <f ca="1">IFERROR(INDEX(OFFSET(INDIRECT("v_buffer_hist_hoy!$A$1"),1,MATCH("buh_estado_inventario_proyectado",INDIRECT("v_buffer_hist_hoy!$1:$1"),0)-1,100000,1),MATCH(CLEAN(TABLATRANSFERENCIA[[#This Row],[CODIGO]]),OFFSET(INDIRECT("v_buffer_hist_hoy!$A$1"),1,MATCH("buh_codigo",INDIRECT("v_buffer_hist_hoy!$1:$1"),0)-1,100000,1),0)),"")</f>
        <v>0.56999999999999995</v>
      </c>
      <c r="AL12" s="6" t="str">
        <f ca="1">IFERROR(INDEX(OFFSET(INDIRECT("v_buffer_hist_hoy!$A$1"),1,MATCH("buh_color_inventario_proyectado",INDIRECT("v_buffer_hist_hoy!$1:$1"),0)-1,100000,1),MATCH(CLEAN(TABLATRANSFERENCIA[[#This Row],[CODIGO]]),OFFSET(INDIRECT("v_buffer_hist_hoy!$A$1"),1,MATCH("buh_codigo",INDIRECT("v_buffer_hist_hoy!$1:$1"),0)-1,100000,1),0)),"")</f>
        <v>A</v>
      </c>
      <c r="AM12" s="6">
        <f ca="1">IFERROR(INDEX(OFFSET(INDIRECT("v_buffer_hist_hoy!$A$1"),1,MATCH("buh_pedido_minimo",INDIRECT("v_buffer_hist_hoy!$1:$1"),0)-1,100000,1),MATCH(CLEAN(TABLATRANSFERENCIA[[#This Row],[CODIGO]]),OFFSET(INDIRECT("v_buffer_hist_hoy!$A$1"),1,MATCH("buh_codigo",INDIRECT("v_buffer_hist_hoy!$1:$1"),0)-1,100000,1),0)),"")</f>
        <v>0</v>
      </c>
      <c r="AN12" s="6">
        <f ca="1">IFERROR(INDEX(OFFSET(INDIRECT("v_buffer_hist_hoy!$A$1"),1,MATCH("buh_pedido_minimo_grupo",INDIRECT("v_buffer_hist_hoy!$1:$1"),0)-1,100000,1),MATCH(CLEAN(TABLATRANSFERENCIA[[#This Row],[CODIGO]]),OFFSET(INDIRECT("v_buffer_hist_hoy!$A$1"),1,MATCH("buh_codigo",INDIRECT("v_buffer_hist_hoy!$1:$1"),0)-1,100000,1),0)),"")</f>
        <v>0</v>
      </c>
      <c r="AO12" s="6">
        <f ca="1">IFERROR(INDEX(OFFSET(INDIRECT("v_buffer_hist_hoy!$A$1"),1,MATCH("buh_unidad_empaque",INDIRECT("v_buffer_hist_hoy!$1:$1"),0)-1,100000,1),MATCH(CLEAN(TABLATRANSFERENCIA[[#This Row],[CODIGO]]),OFFSET(INDIRECT("v_buffer_hist_hoy!$A$1"),1,MATCH("buh_codigo",INDIRECT("v_buffer_hist_hoy!$1:$1"),0)-1,100000,1),0)),"")</f>
        <v>0</v>
      </c>
      <c r="AP12" s="6">
        <f ca="1">IFERROR(INDEX(OFFSET(INDIRECT("v_buffer_hist_hoy!$A$1"),1,MATCH("buh_pedido_promedio",INDIRECT("v_buffer_hist_hoy!$1:$1"),0)-1,100000,1),MATCH(CLEAN(TABLATRANSFERENCIA[[#This Row],[CODIGO]]),OFFSET(INDIRECT("v_buffer_hist_hoy!$A$1"),1,MATCH("buh_codigo",INDIRECT("v_buffer_hist_hoy!$1:$1"),0)-1,100000,1),0)),"")</f>
        <v>1375</v>
      </c>
      <c r="AQ12" s="6">
        <f ca="1">IFERROR(INDEX(OFFSET(INDIRECT("v_buffer_hist_hoy!$A$1"),1,MATCH("buh_cobertura_buffer",INDIRECT("v_buffer_hist_hoy!$1:$1"),0)-1,100000,1),MATCH(CLEAN(TABLATRANSFERENCIA[[#This Row],[CODIGO]]),OFFSET(INDIRECT("v_buffer_hist_hoy!$A$1"),1,MATCH("buh_codigo",INDIRECT("v_buffer_hist_hoy!$1:$1"),0)-1,100000,1),0)),"")</f>
        <v>0</v>
      </c>
      <c r="AR12" s="6">
        <f ca="1">IFERROR(INDEX(OFFSET(INDIRECT("v_buffer_hist_hoy!$A$1"),1,MATCH("buh_cobertura_inventario_proyectado",INDIRECT("v_buffer_hist_hoy!$1:$1"),0)-1,100000,1),MATCH(CLEAN(TABLATRANSFERENCIA[[#This Row],[CODIGO]]),OFFSET(INDIRECT("v_buffer_hist_hoy!$A$1"),1,MATCH("buh_codigo",INDIRECT("v_buffer_hist_hoy!$1:$1"),0)-1,100000,1),0)),"")</f>
        <v>0</v>
      </c>
      <c r="AS12" s="6">
        <f ca="1">IFERROR(INDEX(OFFSET(INDIRECT("v_buffer_hist_hoy!$A$1"),1,MATCH("buh_cobertura_pedido_minimo",INDIRECT("v_buffer_hist_hoy!$1:$1"),0)-1,100000,1),MATCH(CLEAN(TABLATRANSFERENCIA[[#This Row],[CODIGO]]),OFFSET(INDIRECT("v_buffer_hist_hoy!$A$1"),1,MATCH("buh_codigo",INDIRECT("v_buffer_hist_hoy!$1:$1"),0)-1,100000,1),0)),"")</f>
        <v>0</v>
      </c>
      <c r="AT12" s="6">
        <f ca="1">IFERROR(INDEX(OFFSET(INDIRECT("v_buffer_hist_hoy!$A$1"),1,MATCH("buh_dias_desabastecimiento",INDIRECT("v_buffer_hist_hoy!$1:$1"),0)-1,100000,1),MATCH(CLEAN(TABLATRANSFERENCIA[[#This Row],[CODIGO]]),OFFSET(INDIRECT("v_buffer_hist_hoy!$A$1"),1,MATCH("buh_codigo",INDIRECT("v_buffer_hist_hoy!$1:$1"),0)-1,100000,1),0)),"")</f>
        <v>46</v>
      </c>
      <c r="AU12" s="6">
        <f t="array" ref="AU12">IFERROR(INDEX(Datos_Consumo[CANTIDAD],MATCH(TABLATRANSFERENCIA[[#This Row],[CODIGO]]&amp;TABLATRANSFERENCIA[[#Headers],[Columna1]],Datos_Consumo[CODIGO]&amp;Datos_Consumo[FECHA_FORMATO],0)),0)</f>
        <v>0</v>
      </c>
      <c r="AV12" s="6">
        <f t="array" ref="AV12">IFERROR(INDEX(Datos_Consumo[CANTIDAD],MATCH(TABLATRANSFERENCIA[[#This Row],[CODIGO]]&amp;TABLATRANSFERENCIA[[#Headers],[Columna2]],Datos_Consumo[CODIGO]&amp;Datos_Consumo[FECHA_FORMATO],0)),0)</f>
        <v>0</v>
      </c>
      <c r="AW12" s="6">
        <f t="array" ref="AW12">IFERROR(INDEX(Datos_Consumo[CANTIDAD],MATCH(TABLATRANSFERENCIA[[#This Row],[CODIGO]]&amp;TABLATRANSFERENCIA[[#Headers],[Columna3]],Datos_Consumo[CODIGO]&amp;Datos_Consumo[FECHA_FORMATO],0)),0)</f>
        <v>0</v>
      </c>
      <c r="AX12" s="6">
        <f t="array" ref="AX12">IFERROR(INDEX(Datos_Consumo[CANTIDAD],MATCH(TABLATRANSFERENCIA[[#This Row],[CODIGO]]&amp;TABLATRANSFERENCIA[[#Headers],[Columna4]],Datos_Consumo[CODIGO]&amp;Datos_Consumo[FECHA_FORMATO],0)),0)</f>
        <v>0</v>
      </c>
      <c r="AY12" s="6">
        <f t="array" ref="AY12">IFERROR(INDEX(Datos_Consumo[CANTIDAD],MATCH(TABLATRANSFERENCIA[[#This Row],[CODIGO]]&amp;TABLATRANSFERENCIA[[#Headers],[Columna5]],Datos_Consumo[CODIGO]&amp;Datos_Consumo[FECHA_FORMATO],0)),0)</f>
        <v>0</v>
      </c>
      <c r="AZ12" s="6">
        <f t="array" ref="AZ12">IFERROR(INDEX(Datos_Consumo[CANTIDAD],MATCH(TABLATRANSFERENCIA[[#This Row],[CODIGO]]&amp;TABLATRANSFERENCIA[[#Headers],[Columna6]],Datos_Consumo[CODIGO]&amp;Datos_Consumo[FECHA_FORMATO],0)),0)</f>
        <v>0</v>
      </c>
      <c r="BA12" s="54">
        <f ca="1">IFERROR(INDEX(OFFSET(INDIRECT("v_buffer_hist_hoy!$A$1"),1,MATCH("buh_ultima_transferencia_ini",INDIRECT("v_buffer_hist_hoy!$1:$1"),0)-1,100000,1),MATCH(CLEAN(TABLATRANSFERENCIA[[#This Row],[CODIGO]]),OFFSET(INDIRECT("v_buffer_hist_hoy!$A$1"),1,MATCH("buh_codigo",INDIRECT("v_buffer_hist_hoy!$1:$1"),0)-1,100000,1),0)),"")</f>
        <v>0</v>
      </c>
      <c r="BB12" s="54">
        <f ca="1">IFERROR(INDEX(OFFSET(INDIRECT("v_buffer_hist_hoy!$A$1"),1,MATCH("buh_ultima_transferencia_fin",INDIRECT("v_buffer_hist_hoy!$1:$1"),0)-1,100000,1),MATCH(CLEAN(TABLATRANSFERENCIA[[#This Row],[CODIGO]]),OFFSET(INDIRECT("v_buffer_hist_hoy!$A$1"),1,MATCH("buh_codigo",INDIRECT("v_buffer_hist_hoy!$1:$1"),0)-1,100000,1),0)),"")</f>
        <v>0</v>
      </c>
      <c r="BC12" s="63">
        <v>1000</v>
      </c>
      <c r="BD12" s="67">
        <v>1000</v>
      </c>
      <c r="BE12" s="51"/>
      <c r="BF12" s="51">
        <f>IF(RIGHT(TABLATRANSFERENCIA[[#Headers],[Emb1]],1)*1&lt;=TABLATRANSFERENCIA[[#This Row],[EMBARQUES]],IF(ISBLANK(TABLATRANSFERENCIA[[#This Row],[EMBARQUES]]),TABLATRANSFERENCIA[[#This Row],[REQUERIM]],ROUND(TABLATRANSFERENCIA[[#This Row],[REQUERIM]]/TABLATRANSFERENCIA[[#This Row],[EMBARQUES]],0)),TABLATRANSFERENCIA[[#This Row],[REQUERIM]])</f>
        <v>1000</v>
      </c>
      <c r="BG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2" s="51"/>
      <c r="BL12" s="46">
        <f ca="1">IFERROR(TABLATRANSFERENCIA[[#This Row],[REQUERIM]]/TABLATRANSFERENCIA[[#This Row],[PEDIDO PROMEDIO]],0)</f>
        <v>0.72727272727272729</v>
      </c>
      <c r="BM12" s="71">
        <v>1000</v>
      </c>
      <c r="BN12" s="58"/>
      <c r="BO12" s="3">
        <f>IF(TABLATRANSFERENCIA[[#This Row],[RECIBIDO]]&lt;&gt;"",0,IF(TABLATRANSFERENCIA[[#This Row],[DESPACHO]]&lt;&gt;"",TABLATRANSFERENCIA[[#This Row],[DESPACHO]],TABLATRANSFERENCIA[[#This Row],[REQUERIM]]))</f>
        <v>1000</v>
      </c>
      <c r="BP12" s="50"/>
      <c r="BQ12" s="50"/>
      <c r="BR12" s="50" t="str">
        <f>"N"</f>
        <v>N</v>
      </c>
      <c r="BS12" s="51">
        <f t="array" aca="1" ref="BS12" ca="1">IF(SUM(--(TABLATRANSFERENCIA[[#This Row],[CODIGO GENERICO]]=TABLATRANSFERENCIA[CODIGO GENERICO])*TABLATRANSFERENCIA[REQUERIM])&lt;TABLATRANSFERENCIA[[#This Row],[PEDIDO MIN GRUPO]],1,0)</f>
        <v>0</v>
      </c>
      <c r="BT1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A</v>
      </c>
      <c r="BU12" s="51">
        <f ca="1">IFERROR(INDEX(OFFSET(INDIRECT("v_buffer_hist_hoy!$A$1"),1,MATCH("buh_zona_amarilla",INDIRECT("v_buffer_hist_hoy!$1:$1"),0)-1,100000,1),MATCH(CLEAN(TABLATRANSFERENCIA[[#This Row],[CODIGO]]),OFFSET(INDIRECT("v_buffer_hist_hoy!$A$1"),1,MATCH("buh_codigo",INDIRECT("v_buffer_hist_hoy!$1:$1"),0)-1,100000,1),0)),"")</f>
        <v>3658</v>
      </c>
      <c r="BV12" s="51">
        <f ca="1">IFERROR(INDEX(OFFSET(INDIRECT("v_buffer_hist_hoy!$A$1"),1,MATCH("buh_zona_roja",INDIRECT("v_buffer_hist_hoy!$1:$1"),0)-1,100000,1),MATCH(CLEAN(TABLATRANSFERENCIA[[#This Row],[CODIGO]]),OFFSET(INDIRECT("v_buffer_hist_hoy!$A$1"),1,MATCH("buh_codigo",INDIRECT("v_buffer_hist_hoy!$1:$1"),0)-1,100000,1),0)),"")</f>
        <v>1815</v>
      </c>
    </row>
    <row r="13" spans="1:74" x14ac:dyDescent="0.25">
      <c r="A13" s="59" t="s">
        <v>1272</v>
      </c>
      <c r="B13" s="3" t="str">
        <f ca="1">IFERROR(INDEX(OFFSET(INDIRECT("v_buffer_hist_hoy!$A$1"),1,MATCH("pro_descripcion",INDIRECT("v_buffer_hist_hoy!$1:$1"),0)-1,100000,1),MATCH(CLEAN(TABLATRANSFERENCIA[[#This Row],[CODIGO]]),OFFSET(INDIRECT("v_buffer_hist_hoy!$A$1"),1,MATCH("buh_codigo",INDIRECT("v_buffer_hist_hoy!$1:$1"),0)-1,100000,1),0)),"")</f>
        <v>DIFENOCONAZOLE 25% EC x 200LIT</v>
      </c>
      <c r="C13" s="3" t="str">
        <f ca="1">IFERROR(INDEX(OFFSET(INDIRECT("v_buffer_hist_hoy!$A$1"),1,MATCH("buh_codigo_generico",INDIRECT("v_buffer_hist_hoy!$1:$1"),0)-1,100000,1),MATCH(CLEAN(TABLATRANSFERENCIA[[#This Row],[CODIGO]]),OFFSET(INDIRECT("v_buffer_hist_hoy!$A$1"),1,MATCH("buh_codigo",INDIRECT("v_buffer_hist_hoy!$1:$1"),0)-1,100000,1),0)),"")</f>
        <v>0</v>
      </c>
      <c r="D13" s="3" t="str">
        <f ca="1">IFERROR(INDEX(OFFSET(INDIRECT("v_buffer_hist_hoy!$A$1"),1,MATCH("buh_codigo_vinculado",INDIRECT("v_buffer_hist_hoy!$1:$1"),0)-1,100000,1),MATCH(CLEAN(TABLATRANSFERENCIA[[#This Row],[CODIGO]]),OFFSET(INDIRECT("v_buffer_hist_hoy!$A$1"),1,MATCH("buh_codigo",INDIRECT("v_buffer_hist_hoy!$1:$1"),0)-1,100000,1),0)),"")</f>
        <v>MPFUCODIF-200LIT</v>
      </c>
      <c r="E13" s="3" t="str">
        <f ca="1">IFERROR(INDEX(OFFSET(INDIRECT("v_buffer_hist_hoy!$A$1"),1,MATCH("pro_linea",INDIRECT("v_buffer_hist_hoy!$1:$1"),0)-1,100000,1),MATCH(CLEAN(TABLATRANSFERENCIA[[#This Row],[CODIGO]]),OFFSET(INDIRECT("v_buffer_hist_hoy!$A$1"),1,MATCH("buh_codigo",INDIRECT("v_buffer_hist_hoy!$1:$1"),0)-1,100000,1),0)),"")</f>
        <v>PLAGUICIDAS CONVENCIONALES</v>
      </c>
      <c r="F13" s="3">
        <f ca="1">IFERROR(INDEX(OFFSET(INDIRECT("v_buffer_hist_hoy!$A$1"),1,MATCH("pro_sublinea",INDIRECT("v_buffer_hist_hoy!$1:$1"),0)-1,100000,1),MATCH(CLEAN(TABLATRANSFERENCIA[[#This Row],[CODIGO]]),OFFSET(INDIRECT("v_buffer_hist_hoy!$A$1"),1,MATCH("buh_codigo",INDIRECT("v_buffer_hist_hoy!$1:$1"),0)-1,100000,1),0)),"")</f>
        <v>0</v>
      </c>
      <c r="G13" s="3" t="str">
        <f ca="1">IFERROR(INDEX(OFFSET(INDIRECT("v_buffer_hist_hoy!$A$1"),1,MATCH("pro_grupo",INDIRECT("v_buffer_hist_hoy!$1:$1"),0)-1,100000,1),MATCH(CLEAN(TABLATRANSFERENCIA[[#This Row],[CODIGO]]),OFFSET(INDIRECT("v_buffer_hist_hoy!$A$1"),1,MATCH("buh_codigo",INDIRECT("v_buffer_hist_hoy!$1:$1"),0)-1,100000,1),0)),"")</f>
        <v>DIFENOCONAZOLE 25% EC</v>
      </c>
      <c r="H13" s="3">
        <f ca="1">IFERROR(INDEX(OFFSET(INDIRECT("v_buffer_hist_hoy!$A$1"),1,MATCH("pro_familia",INDIRECT("v_buffer_hist_hoy!$1:$1"),0)-1,100000,1),MATCH(CLEAN(TABLATRANSFERENCIA[[#This Row],[CODIGO]]),OFFSET(INDIRECT("v_buffer_hist_hoy!$A$1"),1,MATCH("buh_codigo",INDIRECT("v_buffer_hist_hoy!$1:$1"),0)-1,100000,1),0)),"")</f>
        <v>0</v>
      </c>
      <c r="I13" s="3">
        <f ca="1">IFERROR(INDEX(OFFSET(INDIRECT("v_buffer_hist_hoy!$A$1"),1,MATCH("pro_subfamilia",INDIRECT("v_buffer_hist_hoy!$1:$1"),0)-1,100000,1),MATCH(CLEAN(TABLATRANSFERENCIA[[#This Row],[CODIGO]]),OFFSET(INDIRECT("v_buffer_hist_hoy!$A$1"),1,MATCH("buh_codigo",INDIRECT("v_buffer_hist_hoy!$1:$1"),0)-1,100000,1),0)),"")</f>
        <v>0</v>
      </c>
      <c r="J13" s="3" t="str">
        <f ca="1">IFERROR(INDEX(OFFSET(INDIRECT("v_buffer_hist_hoy!$A$1"),1,MATCH("pro_categoria",INDIRECT("v_buffer_hist_hoy!$1:$1"),0)-1,100000,1),MATCH(CLEAN(TABLATRANSFERENCIA[[#This Row],[CODIGO]]),OFFSET(INDIRECT("v_buffer_hist_hoy!$A$1"),1,MATCH("buh_codigo",INDIRECT("v_buffer_hist_hoy!$1:$1"),0)-1,100000,1),0)),"")</f>
        <v>FUNGICIDA</v>
      </c>
      <c r="K13" s="3">
        <f ca="1">IFERROR(INDEX(OFFSET(INDIRECT("v_buffer_hist_hoy!$A$1"),1,MATCH("pro_tipo",INDIRECT("v_buffer_hist_hoy!$1:$1"),0)-1,100000,1),MATCH(CLEAN(TABLATRANSFERENCIA[[#This Row],[CODIGO]]),OFFSET(INDIRECT("v_buffer_hist_hoy!$A$1"),1,MATCH("buh_codigo",INDIRECT("v_buffer_hist_hoy!$1:$1"),0)-1,100000,1),0)),"")</f>
        <v>0</v>
      </c>
      <c r="L13" s="3" t="str">
        <f ca="1">IFERROR(INDEX(OFFSET(INDIRECT("v_buffer_hist_hoy!$A$1"),1,MATCH("pro_marca",INDIRECT("v_buffer_hist_hoy!$1:$1"),0)-1,100000,1),MATCH(CLEAN(TABLATRANSFERENCIA[[#This Row],[CODIGO]]),OFFSET(INDIRECT("v_buffer_hist_hoy!$A$1"),1,MATCH("buh_codigo",INDIRECT("v_buffer_hist_hoy!$1:$1"),0)-1,100000,1),0)),"")</f>
        <v>SINOCHEM</v>
      </c>
      <c r="M13" s="3">
        <f ca="1">IFERROR(INDEX(OFFSET(INDIRECT("v_buffer_hist_hoy!$A$1"),1,MATCH("pro_modelo",INDIRECT("v_buffer_hist_hoy!$1:$1"),0)-1,100000,1),MATCH(CLEAN(TABLATRANSFERENCIA[[#This Row],[CODIGO]]),OFFSET(INDIRECT("v_buffer_hist_hoy!$A$1"),1,MATCH("buh_codigo",INDIRECT("v_buffer_hist_hoy!$1:$1"),0)-1,100000,1),0)),"")</f>
        <v>0</v>
      </c>
      <c r="N13" s="3">
        <f ca="1">IFERROR(INDEX(OFFSET(INDIRECT("v_buffer_hist_hoy!$A$1"),1,MATCH("pro_cat_management",INDIRECT("v_buffer_hist_hoy!$1:$1"),0)-1,100000,1),MATCH(CLEAN(TABLATRANSFERENCIA[[#This Row],[CODIGO]]),OFFSET(INDIRECT("v_buffer_hist_hoy!$A$1"),1,MATCH("buh_codigo",INDIRECT("v_buffer_hist_hoy!$1:$1"),0)-1,100000,1),0)),"")</f>
        <v>0</v>
      </c>
      <c r="O13" s="5" t="str">
        <f ca="1">IFERROR(INDEX(OFFSET(INDIRECT("v_buffer_hist_hoy!$A$1"),1,MATCH("buh_estatus",INDIRECT("v_buffer_hist_hoy!$1:$1"),0)-1,100000,1),MATCH(CLEAN(TABLATRANSFERENCIA[[#This Row],[CODIGO]]),OFFSET(INDIRECT("v_buffer_hist_hoy!$A$1"),1,MATCH("buh_codigo",INDIRECT("v_buffer_hist_hoy!$1:$1"),0)-1,100000,1),0)),"")</f>
        <v>0</v>
      </c>
      <c r="P13" s="5">
        <f ca="1">IFERROR(INDEX(OFFSET(INDIRECT("v_buffer_hist_hoy!$A$1"),1,MATCH("buh_ctv",INDIRECT("v_buffer_hist_hoy!$1:$1"),0)-1,100000,1),MATCH(CLEAN(TABLATRANSFERENCIA[[#This Row],[CODIGO]]),OFFSET(INDIRECT("v_buffer_hist_hoy!$A$1"),1,MATCH("buh_codigo",INDIRECT("v_buffer_hist_hoy!$1:$1"),0)-1,100000,1),0)),"")</f>
        <v>3969.8</v>
      </c>
      <c r="Q13" s="5">
        <f ca="1">IFERROR(INDEX(OFFSET(INDIRECT("v_buffer_hist_hoy!$A$1"),1,MATCH("buh_pv",INDIRECT("v_buffer_hist_hoy!$1:$1"),0)-1,100000,1),MATCH(CLEAN(TABLATRANSFERENCIA[[#This Row],[CODIGO]]),OFFSET(INDIRECT("v_buffer_hist_hoy!$A$1"),1,MATCH("buh_codigo",INDIRECT("v_buffer_hist_hoy!$1:$1"),0)-1,100000,1),0)),"")</f>
        <v>0</v>
      </c>
      <c r="R13" s="46">
        <f ca="1">IFERROR(INDEX(OFFSET(INDIRECT("v_buffer_hist_hoy!$A$1"),1,MATCH("buh_roi_pasado",INDIRECT("v_buffer_hist_hoy!$1:$1"),0)-1,100000,1),MATCH(CLEAN(TABLATRANSFERENCIA[[#This Row],[CODIGO]]),OFFSET(INDIRECT("v_buffer_hist_hoy!$A$1"),1,MATCH("buh_codigo",INDIRECT("v_buffer_hist_hoy!$1:$1"),0)-1,100000,1),0)),"")</f>
        <v>0</v>
      </c>
      <c r="S13" s="46">
        <f ca="1">IFERROR(INDEX(OFFSET(INDIRECT("v_buffer_hist_hoy!$A$1"),1,MATCH("buh_roi_proyectado",INDIRECT("v_buffer_hist_hoy!$1:$1"),0)-1,100000,1),MATCH(CLEAN(TABLATRANSFERENCIA[[#This Row],[CODIGO]]),OFFSET(INDIRECT("v_buffer_hist_hoy!$A$1"),1,MATCH("buh_codigo",INDIRECT("v_buffer_hist_hoy!$1:$1"),0)-1,100000,1),0)),"")</f>
        <v>-3</v>
      </c>
      <c r="T13" s="46">
        <f ca="1">IFERROR(INDEX(OFFSET(INDIRECT("v_buffer_hist_hoy!$A$1"),1,MATCH("buh_velocity",INDIRECT("v_buffer_hist_hoy!$1:$1"),0)-1,100000,1),MATCH(CLEAN(TABLATRANSFERENCIA[[#This Row],[CODIGO]]),OFFSET(INDIRECT("v_buffer_hist_hoy!$A$1"),1,MATCH("buh_codigo",INDIRECT("v_buffer_hist_hoy!$1:$1"),0)-1,100000,1),0)),"")</f>
        <v>0</v>
      </c>
      <c r="U13" s="46">
        <f ca="1">IFERROR(INDEX(OFFSET(INDIRECT("v_buffer_hist_hoy!$A$1"),1,MATCH("buh_nivel_servicio",INDIRECT("v_buffer_hist_hoy!$1:$1"),0)-1,100000,1),MATCH(CLEAN(TABLATRANSFERENCIA[[#This Row],[CODIGO]]),OFFSET(INDIRECT("v_buffer_hist_hoy!$A$1"),1,MATCH("buh_codigo",INDIRECT("v_buffer_hist_hoy!$1:$1"),0)-1,100000,1),0)),"")</f>
        <v>1</v>
      </c>
      <c r="V13" s="49" t="str">
        <f ca="1">IFERROR(INDEX(OFFSET(INDIRECT("v_buffer_hist_hoy!$A$1"),1,MATCH("pro_nombre",INDIRECT("v_buffer_hist_hoy!$1:$1"),0)-1,100000,1),MATCH(CLEAN(TABLATRANSFERENCIA[[#This Row],[CODIGO]]),OFFSET(INDIRECT("v_buffer_hist_hoy!$A$1"),1,MATCH("buh_codigo",INDIRECT("v_buffer_hist_hoy!$1:$1"),0)-1,100000,1),0)),"")</f>
        <v>Sinochem</v>
      </c>
      <c r="W13" s="49" t="str">
        <f ca="1">IFERROR(INDEX(OFFSET(INDIRECT("v_buffer_hist_hoy!$A$1"),1,MATCH("pre_nombre",INDIRECT("v_buffer_hist_hoy!$1:$1"),0)-1,100000,1),MATCH(CLEAN(TABLATRANSFERENCIA[[#This Row],[CODIGO]]),OFFSET(INDIRECT("v_buffer_hist_hoy!$A$1"),1,MATCH("buh_codigo",INDIRECT("v_buffer_hist_hoy!$1:$1"),0)-1,100000,1),0)),"")</f>
        <v>CHINA</v>
      </c>
      <c r="X13" s="51">
        <f ca="1">IFERROR(INDEX(OFFSET(INDIRECT("v_buffer_hist_hoy!$A$1"),1,MATCH("buh_tiempo_suministro",INDIRECT("v_buffer_hist_hoy!$1:$1"),0)-1,100000,1),MATCH(CLEAN(TABLATRANSFERENCIA[[#This Row],[CODIGO]]),OFFSET(INDIRECT("v_buffer_hist_hoy!$A$1"),1,MATCH("buh_codigo",INDIRECT("v_buffer_hist_hoy!$1:$1"),0)-1,100000,1),0)),"")</f>
        <v>12</v>
      </c>
      <c r="Y13" s="51">
        <f ca="1">IFERROR(INDEX(OFFSET(INDIRECT("v_buffer_hist_hoy!$A$1"),1,MATCH("buh_frecuencia_reposicion",INDIRECT("v_buffer_hist_hoy!$1:$1"),0)-1,100000,1),MATCH(CLEAN(TABLATRANSFERENCIA[[#This Row],[CODIGO]]),OFFSET(INDIRECT("v_buffer_hist_hoy!$A$1"),1,MATCH("buh_codigo",INDIRECT("v_buffer_hist_hoy!$1:$1"),0)-1,100000,1),0)),"")</f>
        <v>4</v>
      </c>
      <c r="Z13" s="6">
        <f ca="1">IFERROR(INDEX(OFFSET(INDIRECT("v_buffer_hist_hoy!$A$1"),1,MATCH("buh_buffer_actual",INDIRECT("v_buffer_hist_hoy!$1:$1"),0)-1,100000,1),MATCH(CLEAN(TABLATRANSFERENCIA[[#This Row],[CODIGO]]),OFFSET(INDIRECT("v_buffer_hist_hoy!$A$1"),1,MATCH("buh_codigo",INDIRECT("v_buffer_hist_hoy!$1:$1"),0)-1,100000,1),0)),"")</f>
        <v>20</v>
      </c>
      <c r="AA13" s="6">
        <f ca="1">IFERROR(INDEX(OFFSET(INDIRECT("v_buffer_hist_hoy!$A$1"),1,MATCH("buh_inventario_fisico",INDIRECT("v_buffer_hist_hoy!$1:$1"),0)-1,100000,1),MATCH(CLEAN(TABLATRANSFERENCIA[[#This Row],[CODIGO]]),OFFSET(INDIRECT("v_buffer_hist_hoy!$A$1"),1,MATCH("buh_codigo",INDIRECT("v_buffer_hist_hoy!$1:$1"),0)-1,100000,1),0)),"")</f>
        <v>4.7</v>
      </c>
      <c r="AB13" s="4">
        <f ca="1">IFERROR(INDEX(OFFSET(INDIRECT("v_buffer_hist_hoy!$A$1"),1,MATCH("buh_estado_inventario_fisico",INDIRECT("v_buffer_hist_hoy!$1:$1"),0)-1,100000,1),MATCH(CLEAN(TABLATRANSFERENCIA[[#This Row],[CODIGO]]),OFFSET(INDIRECT("v_buffer_hist_hoy!$A$1"),1,MATCH("buh_codigo",INDIRECT("v_buffer_hist_hoy!$1:$1"),0)-1,100000,1),0)),"")</f>
        <v>0.77</v>
      </c>
      <c r="AC13" s="6" t="str">
        <f ca="1">IFERROR(INDEX(OFFSET(INDIRECT("v_buffer_hist_hoy!$A$1"),1,MATCH("buh_color_inventario_fisico",INDIRECT("v_buffer_hist_hoy!$1:$1"),0)-1,100000,1),MATCH(CLEAN(TABLATRANSFERENCIA[[#This Row],[CODIGO]]),OFFSET(INDIRECT("v_buffer_hist_hoy!$A$1"),1,MATCH("buh_codigo",INDIRECT("v_buffer_hist_hoy!$1:$1"),0)-1,100000,1),0)),"")</f>
        <v>R</v>
      </c>
      <c r="AD13" s="6">
        <f ca="1">IFERROR(INDEX(OFFSET(INDIRECT("v_buffer_hist_hoy!$A$1"),1,MATCH("buh_transito",INDIRECT("v_buffer_hist_hoy!$1:$1"),0)-1,100000,1),MATCH(CLEAN(TABLATRANSFERENCIA[[#This Row],[CODIGO]]),OFFSET(INDIRECT("v_buffer_hist_hoy!$A$1"),1,MATCH("buh_codigo",INDIRECT("v_buffer_hist_hoy!$1:$1"),0)-1,100000,1),0)),"")</f>
        <v>6</v>
      </c>
      <c r="AE13" s="6">
        <f ca="1">IFERROR(INDEX(OFFSET(INDIRECT("v_buffer_hist_hoy!$A$1"),1,MATCH("buh_negociacion",INDIRECT("v_buffer_hist_hoy!$1:$1"),0)-1,100000,1),MATCH(CLEAN(TABLATRANSFERENCIA[[#This Row],[CODIGO]]),OFFSET(INDIRECT("v_buffer_hist_hoy!$A$1"),1,MATCH("buh_codigo",INDIRECT("v_buffer_hist_hoy!$1:$1"),0)-1,100000,1),0)),"")</f>
        <v>0</v>
      </c>
      <c r="AF13" s="6">
        <f ca="1">IFERROR(INDEX(OFFSET(INDIRECT("v_buffer_hist_hoy!$A$1"),1,MATCH("buh_produccion",INDIRECT("v_buffer_hist_hoy!$1:$1"),0)-1,100000,1),MATCH(CLEAN(TABLATRANSFERENCIA[[#This Row],[CODIGO]]),OFFSET(INDIRECT("v_buffer_hist_hoy!$A$1"),1,MATCH("buh_codigo",INDIRECT("v_buffer_hist_hoy!$1:$1"),0)-1,100000,1),0)),"")</f>
        <v>0</v>
      </c>
      <c r="AG13" s="6">
        <f ca="1">IFERROR(INDEX(OFFSET(INDIRECT("v_buffer_hist_hoy!$A$1"),1,MATCH("buh_embarcado",INDIRECT("v_buffer_hist_hoy!$1:$1"),0)-1,100000,1),MATCH(CLEAN(TABLATRANSFERENCIA[[#This Row],[CODIGO]]),OFFSET(INDIRECT("v_buffer_hist_hoy!$A$1"),1,MATCH("buh_codigo",INDIRECT("v_buffer_hist_hoy!$1:$1"),0)-1,100000,1),0)),"")</f>
        <v>0</v>
      </c>
      <c r="AH13" s="6">
        <f ca="1">IFERROR(INDEX(OFFSET(INDIRECT("v_buffer_hist_hoy!$A$1"),1,MATCH("buh_comprometido",INDIRECT("v_buffer_hist_hoy!$1:$1"),0)-1,100000,1),MATCH(CLEAN(TABLATRANSFERENCIA[[#This Row],[CODIGO]]),OFFSET(INDIRECT("v_buffer_hist_hoy!$A$1"),1,MATCH("buh_codigo",INDIRECT("v_buffer_hist_hoy!$1:$1"),0)-1,100000,1),0)),"")</f>
        <v>0</v>
      </c>
      <c r="AI13" s="6">
        <f ca="1">IFERROR(INDEX(OFFSET(INDIRECT("v_buffer_hist_hoy!$A$1"),1,MATCH("buh_backorder",INDIRECT("v_buffer_hist_hoy!$1:$1"),0)-1,100000,1),MATCH(CLEAN(TABLATRANSFERENCIA[[#This Row],[CODIGO]]),OFFSET(INDIRECT("v_buffer_hist_hoy!$A$1"),1,MATCH("buh_codigo",INDIRECT("v_buffer_hist_hoy!$1:$1"),0)-1,100000,1),0)),"")</f>
        <v>0</v>
      </c>
      <c r="AJ13" s="6">
        <f ca="1">IFERROR(INDEX(OFFSET(INDIRECT("v_buffer_hist_hoy!$A$1"),1,MATCH("buh_inventario_proyectado",INDIRECT("v_buffer_hist_hoy!$1:$1"),0)-1,100000,1),MATCH(CLEAN(TABLATRANSFERENCIA[[#This Row],[CODIGO]]),OFFSET(INDIRECT("v_buffer_hist_hoy!$A$1"),1,MATCH("buh_codigo",INDIRECT("v_buffer_hist_hoy!$1:$1"),0)-1,100000,1),0)),"")</f>
        <v>10.7</v>
      </c>
      <c r="AK13" s="4">
        <f ca="1">IFERROR(INDEX(OFFSET(INDIRECT("v_buffer_hist_hoy!$A$1"),1,MATCH("buh_estado_inventario_proyectado",INDIRECT("v_buffer_hist_hoy!$1:$1"),0)-1,100000,1),MATCH(CLEAN(TABLATRANSFERENCIA[[#This Row],[CODIGO]]),OFFSET(INDIRECT("v_buffer_hist_hoy!$A$1"),1,MATCH("buh_codigo",INDIRECT("v_buffer_hist_hoy!$1:$1"),0)-1,100000,1),0)),"")</f>
        <v>0.47</v>
      </c>
      <c r="AL13" s="6" t="str">
        <f ca="1">IFERROR(INDEX(OFFSET(INDIRECT("v_buffer_hist_hoy!$A$1"),1,MATCH("buh_color_inventario_proyectado",INDIRECT("v_buffer_hist_hoy!$1:$1"),0)-1,100000,1),MATCH(CLEAN(TABLATRANSFERENCIA[[#This Row],[CODIGO]]),OFFSET(INDIRECT("v_buffer_hist_hoy!$A$1"),1,MATCH("buh_codigo",INDIRECT("v_buffer_hist_hoy!$1:$1"),0)-1,100000,1),0)),"")</f>
        <v>A</v>
      </c>
      <c r="AM13" s="6">
        <f ca="1">IFERROR(INDEX(OFFSET(INDIRECT("v_buffer_hist_hoy!$A$1"),1,MATCH("buh_pedido_minimo",INDIRECT("v_buffer_hist_hoy!$1:$1"),0)-1,100000,1),MATCH(CLEAN(TABLATRANSFERENCIA[[#This Row],[CODIGO]]),OFFSET(INDIRECT("v_buffer_hist_hoy!$A$1"),1,MATCH("buh_codigo",INDIRECT("v_buffer_hist_hoy!$1:$1"),0)-1,100000,1),0)),"")</f>
        <v>0</v>
      </c>
      <c r="AN13" s="6">
        <f ca="1">IFERROR(INDEX(OFFSET(INDIRECT("v_buffer_hist_hoy!$A$1"),1,MATCH("buh_pedido_minimo_grupo",INDIRECT("v_buffer_hist_hoy!$1:$1"),0)-1,100000,1),MATCH(CLEAN(TABLATRANSFERENCIA[[#This Row],[CODIGO]]),OFFSET(INDIRECT("v_buffer_hist_hoy!$A$1"),1,MATCH("buh_codigo",INDIRECT("v_buffer_hist_hoy!$1:$1"),0)-1,100000,1),0)),"")</f>
        <v>0</v>
      </c>
      <c r="AO13" s="6">
        <f ca="1">IFERROR(INDEX(OFFSET(INDIRECT("v_buffer_hist_hoy!$A$1"),1,MATCH("buh_unidad_empaque",INDIRECT("v_buffer_hist_hoy!$1:$1"),0)-1,100000,1),MATCH(CLEAN(TABLATRANSFERENCIA[[#This Row],[CODIGO]]),OFFSET(INDIRECT("v_buffer_hist_hoy!$A$1"),1,MATCH("buh_codigo",INDIRECT("v_buffer_hist_hoy!$1:$1"),0)-1,100000,1),0)),"")</f>
        <v>0</v>
      </c>
      <c r="AP13" s="6">
        <f ca="1">IFERROR(INDEX(OFFSET(INDIRECT("v_buffer_hist_hoy!$A$1"),1,MATCH("buh_pedido_promedio",INDIRECT("v_buffer_hist_hoy!$1:$1"),0)-1,100000,1),MATCH(CLEAN(TABLATRANSFERENCIA[[#This Row],[CODIGO]]),OFFSET(INDIRECT("v_buffer_hist_hoy!$A$1"),1,MATCH("buh_codigo",INDIRECT("v_buffer_hist_hoy!$1:$1"),0)-1,100000,1),0)),"")</f>
        <v>5</v>
      </c>
      <c r="AQ13" s="6">
        <f ca="1">IFERROR(INDEX(OFFSET(INDIRECT("v_buffer_hist_hoy!$A$1"),1,MATCH("buh_cobertura_buffer",INDIRECT("v_buffer_hist_hoy!$1:$1"),0)-1,100000,1),MATCH(CLEAN(TABLATRANSFERENCIA[[#This Row],[CODIGO]]),OFFSET(INDIRECT("v_buffer_hist_hoy!$A$1"),1,MATCH("buh_codigo",INDIRECT("v_buffer_hist_hoy!$1:$1"),0)-1,100000,1),0)),"")</f>
        <v>0</v>
      </c>
      <c r="AR13" s="6">
        <f ca="1">IFERROR(INDEX(OFFSET(INDIRECT("v_buffer_hist_hoy!$A$1"),1,MATCH("buh_cobertura_inventario_proyectado",INDIRECT("v_buffer_hist_hoy!$1:$1"),0)-1,100000,1),MATCH(CLEAN(TABLATRANSFERENCIA[[#This Row],[CODIGO]]),OFFSET(INDIRECT("v_buffer_hist_hoy!$A$1"),1,MATCH("buh_codigo",INDIRECT("v_buffer_hist_hoy!$1:$1"),0)-1,100000,1),0)),"")</f>
        <v>0</v>
      </c>
      <c r="AS13" s="6">
        <f ca="1">IFERROR(INDEX(OFFSET(INDIRECT("v_buffer_hist_hoy!$A$1"),1,MATCH("buh_cobertura_pedido_minimo",INDIRECT("v_buffer_hist_hoy!$1:$1"),0)-1,100000,1),MATCH(CLEAN(TABLATRANSFERENCIA[[#This Row],[CODIGO]]),OFFSET(INDIRECT("v_buffer_hist_hoy!$A$1"),1,MATCH("buh_codigo",INDIRECT("v_buffer_hist_hoy!$1:$1"),0)-1,100000,1),0)),"")</f>
        <v>0</v>
      </c>
      <c r="AT13" s="6">
        <f ca="1">IFERROR(INDEX(OFFSET(INDIRECT("v_buffer_hist_hoy!$A$1"),1,MATCH("buh_dias_desabastecimiento",INDIRECT("v_buffer_hist_hoy!$1:$1"),0)-1,100000,1),MATCH(CLEAN(TABLATRANSFERENCIA[[#This Row],[CODIGO]]),OFFSET(INDIRECT("v_buffer_hist_hoy!$A$1"),1,MATCH("buh_codigo",INDIRECT("v_buffer_hist_hoy!$1:$1"),0)-1,100000,1),0)),"")</f>
        <v>2</v>
      </c>
      <c r="AU13" s="6">
        <f t="array" ref="AU13">IFERROR(INDEX(Datos_Consumo[CANTIDAD],MATCH(TABLATRANSFERENCIA[[#This Row],[CODIGO]]&amp;TABLATRANSFERENCIA[[#Headers],[Columna1]],Datos_Consumo[CODIGO]&amp;Datos_Consumo[FECHA_FORMATO],0)),0)</f>
        <v>0</v>
      </c>
      <c r="AV13" s="6">
        <f t="array" ref="AV13">IFERROR(INDEX(Datos_Consumo[CANTIDAD],MATCH(TABLATRANSFERENCIA[[#This Row],[CODIGO]]&amp;TABLATRANSFERENCIA[[#Headers],[Columna2]],Datos_Consumo[CODIGO]&amp;Datos_Consumo[FECHA_FORMATO],0)),0)</f>
        <v>0</v>
      </c>
      <c r="AW13" s="6">
        <f t="array" ref="AW13">IFERROR(INDEX(Datos_Consumo[CANTIDAD],MATCH(TABLATRANSFERENCIA[[#This Row],[CODIGO]]&amp;TABLATRANSFERENCIA[[#Headers],[Columna3]],Datos_Consumo[CODIGO]&amp;Datos_Consumo[FECHA_FORMATO],0)),0)</f>
        <v>0</v>
      </c>
      <c r="AX13" s="6">
        <f t="array" ref="AX13">IFERROR(INDEX(Datos_Consumo[CANTIDAD],MATCH(TABLATRANSFERENCIA[[#This Row],[CODIGO]]&amp;TABLATRANSFERENCIA[[#Headers],[Columna4]],Datos_Consumo[CODIGO]&amp;Datos_Consumo[FECHA_FORMATO],0)),0)</f>
        <v>0</v>
      </c>
      <c r="AY13" s="6">
        <f t="array" ref="AY13">IFERROR(INDEX(Datos_Consumo[CANTIDAD],MATCH(TABLATRANSFERENCIA[[#This Row],[CODIGO]]&amp;TABLATRANSFERENCIA[[#Headers],[Columna5]],Datos_Consumo[CODIGO]&amp;Datos_Consumo[FECHA_FORMATO],0)),0)</f>
        <v>0</v>
      </c>
      <c r="AZ13" s="6">
        <f t="array" ref="AZ13">IFERROR(INDEX(Datos_Consumo[CANTIDAD],MATCH(TABLATRANSFERENCIA[[#This Row],[CODIGO]]&amp;TABLATRANSFERENCIA[[#Headers],[Columna6]],Datos_Consumo[CODIGO]&amp;Datos_Consumo[FECHA_FORMATO],0)),0)</f>
        <v>0</v>
      </c>
      <c r="BA13" s="54">
        <f ca="1">IFERROR(INDEX(OFFSET(INDIRECT("v_buffer_hist_hoy!$A$1"),1,MATCH("buh_ultima_transferencia_ini",INDIRECT("v_buffer_hist_hoy!$1:$1"),0)-1,100000,1),MATCH(CLEAN(TABLATRANSFERENCIA[[#This Row],[CODIGO]]),OFFSET(INDIRECT("v_buffer_hist_hoy!$A$1"),1,MATCH("buh_codigo",INDIRECT("v_buffer_hist_hoy!$1:$1"),0)-1,100000,1),0)),"")</f>
        <v>0</v>
      </c>
      <c r="BB13" s="54">
        <f ca="1">IFERROR(INDEX(OFFSET(INDIRECT("v_buffer_hist_hoy!$A$1"),1,MATCH("buh_ultima_transferencia_fin",INDIRECT("v_buffer_hist_hoy!$1:$1"),0)-1,100000,1),MATCH(CLEAN(TABLATRANSFERENCIA[[#This Row],[CODIGO]]),OFFSET(INDIRECT("v_buffer_hist_hoy!$A$1"),1,MATCH("buh_codigo",INDIRECT("v_buffer_hist_hoy!$1:$1"),0)-1,100000,1),0)),"")</f>
        <v>0</v>
      </c>
      <c r="BC13" s="63">
        <v>5</v>
      </c>
      <c r="BD13" s="67">
        <v>5</v>
      </c>
      <c r="BE13" s="51"/>
      <c r="BF13"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G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3" s="51"/>
      <c r="BL13" s="46">
        <f ca="1">IFERROR(TABLATRANSFERENCIA[[#This Row],[REQUERIM]]/TABLATRANSFERENCIA[[#This Row],[PEDIDO PROMEDIO]],0)</f>
        <v>1</v>
      </c>
      <c r="BM13" s="71">
        <v>5</v>
      </c>
      <c r="BN13" s="58"/>
      <c r="BO13" s="3">
        <f>IF(TABLATRANSFERENCIA[[#This Row],[RECIBIDO]]&lt;&gt;"",0,IF(TABLATRANSFERENCIA[[#This Row],[DESPACHO]]&lt;&gt;"",TABLATRANSFERENCIA[[#This Row],[DESPACHO]],TABLATRANSFERENCIA[[#This Row],[REQUERIM]]))</f>
        <v>5</v>
      </c>
      <c r="BP13" s="50"/>
      <c r="BQ13" s="50"/>
      <c r="BR13" s="50" t="str">
        <f>"N"</f>
        <v>N</v>
      </c>
      <c r="BS13" s="51">
        <f t="array" aca="1" ref="BS13" ca="1">IF(SUM(--(TABLATRANSFERENCIA[[#This Row],[CODIGO GENERICO]]=TABLATRANSFERENCIA[CODIGO GENERICO])*TABLATRANSFERENCIA[REQUERIM])&lt;TABLATRANSFERENCIA[[#This Row],[PEDIDO MIN GRUPO]],1,0)</f>
        <v>0</v>
      </c>
      <c r="BT1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13" s="51">
        <f ca="1">IFERROR(INDEX(OFFSET(INDIRECT("v_buffer_hist_hoy!$A$1"),1,MATCH("buh_zona_amarilla",INDIRECT("v_buffer_hist_hoy!$1:$1"),0)-1,100000,1),MATCH(CLEAN(TABLATRANSFERENCIA[[#This Row],[CODIGO]]),OFFSET(INDIRECT("v_buffer_hist_hoy!$A$1"),1,MATCH("buh_codigo",INDIRECT("v_buffer_hist_hoy!$1:$1"),0)-1,100000,1),0)),"")</f>
        <v>13</v>
      </c>
      <c r="BV13" s="51">
        <f ca="1">IFERROR(INDEX(OFFSET(INDIRECT("v_buffer_hist_hoy!$A$1"),1,MATCH("buh_zona_roja",INDIRECT("v_buffer_hist_hoy!$1:$1"),0)-1,100000,1),MATCH(CLEAN(TABLATRANSFERENCIA[[#This Row],[CODIGO]]),OFFSET(INDIRECT("v_buffer_hist_hoy!$A$1"),1,MATCH("buh_codigo",INDIRECT("v_buffer_hist_hoy!$1:$1"),0)-1,100000,1),0)),"")</f>
        <v>7</v>
      </c>
    </row>
    <row r="14" spans="1:74" x14ac:dyDescent="0.25">
      <c r="A14" s="59" t="s">
        <v>1284</v>
      </c>
      <c r="B14" s="3" t="str">
        <f ca="1">IFERROR(INDEX(OFFSET(INDIRECT("v_buffer_hist_hoy!$A$1"),1,MATCH("pro_descripcion",INDIRECT("v_buffer_hist_hoy!$1:$1"),0)-1,100000,1),MATCH(CLEAN(TABLATRANSFERENCIA[[#This Row],[CODIGO]]),OFFSET(INDIRECT("v_buffer_hist_hoy!$A$1"),1,MATCH("buh_codigo",INDIRECT("v_buffer_hist_hoy!$1:$1"),0)-1,100000,1),0)),"")</f>
        <v>DIFENOCONAZOLE 25% EC x 250CC</v>
      </c>
      <c r="C14" s="3" t="str">
        <f ca="1">IFERROR(INDEX(OFFSET(INDIRECT("v_buffer_hist_hoy!$A$1"),1,MATCH("buh_codigo_generico",INDIRECT("v_buffer_hist_hoy!$1:$1"),0)-1,100000,1),MATCH(CLEAN(TABLATRANSFERENCIA[[#This Row],[CODIGO]]),OFFSET(INDIRECT("v_buffer_hist_hoy!$A$1"),1,MATCH("buh_codigo",INDIRECT("v_buffer_hist_hoy!$1:$1"),0)-1,100000,1),0)),"")</f>
        <v>0</v>
      </c>
      <c r="D14" s="3" t="str">
        <f ca="1">IFERROR(INDEX(OFFSET(INDIRECT("v_buffer_hist_hoy!$A$1"),1,MATCH("buh_codigo_vinculado",INDIRECT("v_buffer_hist_hoy!$1:$1"),0)-1,100000,1),MATCH(CLEAN(TABLATRANSFERENCIA[[#This Row],[CODIGO]]),OFFSET(INDIRECT("v_buffer_hist_hoy!$A$1"),1,MATCH("buh_codigo",INDIRECT("v_buffer_hist_hoy!$1:$1"),0)-1,100000,1),0)),"")</f>
        <v>MPFUCODIF-250CC</v>
      </c>
      <c r="E14" s="3" t="str">
        <f ca="1">IFERROR(INDEX(OFFSET(INDIRECT("v_buffer_hist_hoy!$A$1"),1,MATCH("pro_linea",INDIRECT("v_buffer_hist_hoy!$1:$1"),0)-1,100000,1),MATCH(CLEAN(TABLATRANSFERENCIA[[#This Row],[CODIGO]]),OFFSET(INDIRECT("v_buffer_hist_hoy!$A$1"),1,MATCH("buh_codigo",INDIRECT("v_buffer_hist_hoy!$1:$1"),0)-1,100000,1),0)),"")</f>
        <v>PLAGUICIDAS CONVENCIONALES</v>
      </c>
      <c r="F14" s="3">
        <f ca="1">IFERROR(INDEX(OFFSET(INDIRECT("v_buffer_hist_hoy!$A$1"),1,MATCH("pro_sublinea",INDIRECT("v_buffer_hist_hoy!$1:$1"),0)-1,100000,1),MATCH(CLEAN(TABLATRANSFERENCIA[[#This Row],[CODIGO]]),OFFSET(INDIRECT("v_buffer_hist_hoy!$A$1"),1,MATCH("buh_codigo",INDIRECT("v_buffer_hist_hoy!$1:$1"),0)-1,100000,1),0)),"")</f>
        <v>0</v>
      </c>
      <c r="G14" s="3" t="str">
        <f ca="1">IFERROR(INDEX(OFFSET(INDIRECT("v_buffer_hist_hoy!$A$1"),1,MATCH("pro_grupo",INDIRECT("v_buffer_hist_hoy!$1:$1"),0)-1,100000,1),MATCH(CLEAN(TABLATRANSFERENCIA[[#This Row],[CODIGO]]),OFFSET(INDIRECT("v_buffer_hist_hoy!$A$1"),1,MATCH("buh_codigo",INDIRECT("v_buffer_hist_hoy!$1:$1"),0)-1,100000,1),0)),"")</f>
        <v>DIFENOCONAZOLE 25% EC</v>
      </c>
      <c r="H14" s="3">
        <f ca="1">IFERROR(INDEX(OFFSET(INDIRECT("v_buffer_hist_hoy!$A$1"),1,MATCH("pro_familia",INDIRECT("v_buffer_hist_hoy!$1:$1"),0)-1,100000,1),MATCH(CLEAN(TABLATRANSFERENCIA[[#This Row],[CODIGO]]),OFFSET(INDIRECT("v_buffer_hist_hoy!$A$1"),1,MATCH("buh_codigo",INDIRECT("v_buffer_hist_hoy!$1:$1"),0)-1,100000,1),0)),"")</f>
        <v>0</v>
      </c>
      <c r="I14" s="3">
        <f ca="1">IFERROR(INDEX(OFFSET(INDIRECT("v_buffer_hist_hoy!$A$1"),1,MATCH("pro_subfamilia",INDIRECT("v_buffer_hist_hoy!$1:$1"),0)-1,100000,1),MATCH(CLEAN(TABLATRANSFERENCIA[[#This Row],[CODIGO]]),OFFSET(INDIRECT("v_buffer_hist_hoy!$A$1"),1,MATCH("buh_codigo",INDIRECT("v_buffer_hist_hoy!$1:$1"),0)-1,100000,1),0)),"")</f>
        <v>0</v>
      </c>
      <c r="J14" s="3" t="str">
        <f ca="1">IFERROR(INDEX(OFFSET(INDIRECT("v_buffer_hist_hoy!$A$1"),1,MATCH("pro_categoria",INDIRECT("v_buffer_hist_hoy!$1:$1"),0)-1,100000,1),MATCH(CLEAN(TABLATRANSFERENCIA[[#This Row],[CODIGO]]),OFFSET(INDIRECT("v_buffer_hist_hoy!$A$1"),1,MATCH("buh_codigo",INDIRECT("v_buffer_hist_hoy!$1:$1"),0)-1,100000,1),0)),"")</f>
        <v>FUNGICIDA</v>
      </c>
      <c r="K14" s="3">
        <f ca="1">IFERROR(INDEX(OFFSET(INDIRECT("v_buffer_hist_hoy!$A$1"),1,MATCH("pro_tipo",INDIRECT("v_buffer_hist_hoy!$1:$1"),0)-1,100000,1),MATCH(CLEAN(TABLATRANSFERENCIA[[#This Row],[CODIGO]]),OFFSET(INDIRECT("v_buffer_hist_hoy!$A$1"),1,MATCH("buh_codigo",INDIRECT("v_buffer_hist_hoy!$1:$1"),0)-1,100000,1),0)),"")</f>
        <v>0</v>
      </c>
      <c r="L14" s="3" t="str">
        <f ca="1">IFERROR(INDEX(OFFSET(INDIRECT("v_buffer_hist_hoy!$A$1"),1,MATCH("pro_marca",INDIRECT("v_buffer_hist_hoy!$1:$1"),0)-1,100000,1),MATCH(CLEAN(TABLATRANSFERENCIA[[#This Row],[CODIGO]]),OFFSET(INDIRECT("v_buffer_hist_hoy!$A$1"),1,MATCH("buh_codigo",INDIRECT("v_buffer_hist_hoy!$1:$1"),0)-1,100000,1),0)),"")</f>
        <v>SINOCHEM</v>
      </c>
      <c r="M14" s="3">
        <f ca="1">IFERROR(INDEX(OFFSET(INDIRECT("v_buffer_hist_hoy!$A$1"),1,MATCH("pro_modelo",INDIRECT("v_buffer_hist_hoy!$1:$1"),0)-1,100000,1),MATCH(CLEAN(TABLATRANSFERENCIA[[#This Row],[CODIGO]]),OFFSET(INDIRECT("v_buffer_hist_hoy!$A$1"),1,MATCH("buh_codigo",INDIRECT("v_buffer_hist_hoy!$1:$1"),0)-1,100000,1),0)),"")</f>
        <v>0</v>
      </c>
      <c r="N14" s="3">
        <f ca="1">IFERROR(INDEX(OFFSET(INDIRECT("v_buffer_hist_hoy!$A$1"),1,MATCH("pro_cat_management",INDIRECT("v_buffer_hist_hoy!$1:$1"),0)-1,100000,1),MATCH(CLEAN(TABLATRANSFERENCIA[[#This Row],[CODIGO]]),OFFSET(INDIRECT("v_buffer_hist_hoy!$A$1"),1,MATCH("buh_codigo",INDIRECT("v_buffer_hist_hoy!$1:$1"),0)-1,100000,1),0)),"")</f>
        <v>0</v>
      </c>
      <c r="O14" s="5" t="str">
        <f ca="1">IFERROR(INDEX(OFFSET(INDIRECT("v_buffer_hist_hoy!$A$1"),1,MATCH("buh_estatus",INDIRECT("v_buffer_hist_hoy!$1:$1"),0)-1,100000,1),MATCH(CLEAN(TABLATRANSFERENCIA[[#This Row],[CODIGO]]),OFFSET(INDIRECT("v_buffer_hist_hoy!$A$1"),1,MATCH("buh_codigo",INDIRECT("v_buffer_hist_hoy!$1:$1"),0)-1,100000,1),0)),"")</f>
        <v>0</v>
      </c>
      <c r="P14" s="5">
        <f ca="1">IFERROR(INDEX(OFFSET(INDIRECT("v_buffer_hist_hoy!$A$1"),1,MATCH("buh_ctv",INDIRECT("v_buffer_hist_hoy!$1:$1"),0)-1,100000,1),MATCH(CLEAN(TABLATRANSFERENCIA[[#This Row],[CODIGO]]),OFFSET(INDIRECT("v_buffer_hist_hoy!$A$1"),1,MATCH("buh_codigo",INDIRECT("v_buffer_hist_hoy!$1:$1"),0)-1,100000,1),0)),"")</f>
        <v>4.5999999999999996</v>
      </c>
      <c r="Q14" s="5">
        <f ca="1">IFERROR(INDEX(OFFSET(INDIRECT("v_buffer_hist_hoy!$A$1"),1,MATCH("buh_pv",INDIRECT("v_buffer_hist_hoy!$1:$1"),0)-1,100000,1),MATCH(CLEAN(TABLATRANSFERENCIA[[#This Row],[CODIGO]]),OFFSET(INDIRECT("v_buffer_hist_hoy!$A$1"),1,MATCH("buh_codigo",INDIRECT("v_buffer_hist_hoy!$1:$1"),0)-1,100000,1),0)),"")</f>
        <v>0</v>
      </c>
      <c r="R14" s="46">
        <f ca="1">IFERROR(INDEX(OFFSET(INDIRECT("v_buffer_hist_hoy!$A$1"),1,MATCH("buh_roi_pasado",INDIRECT("v_buffer_hist_hoy!$1:$1"),0)-1,100000,1),MATCH(CLEAN(TABLATRANSFERENCIA[[#This Row],[CODIGO]]),OFFSET(INDIRECT("v_buffer_hist_hoy!$A$1"),1,MATCH("buh_codigo",INDIRECT("v_buffer_hist_hoy!$1:$1"),0)-1,100000,1),0)),"")</f>
        <v>0</v>
      </c>
      <c r="S14" s="46">
        <f ca="1">IFERROR(INDEX(OFFSET(INDIRECT("v_buffer_hist_hoy!$A$1"),1,MATCH("buh_roi_proyectado",INDIRECT("v_buffer_hist_hoy!$1:$1"),0)-1,100000,1),MATCH(CLEAN(TABLATRANSFERENCIA[[#This Row],[CODIGO]]),OFFSET(INDIRECT("v_buffer_hist_hoy!$A$1"),1,MATCH("buh_codigo",INDIRECT("v_buffer_hist_hoy!$1:$1"),0)-1,100000,1),0)),"")</f>
        <v>-3</v>
      </c>
      <c r="T14" s="46">
        <f ca="1">IFERROR(INDEX(OFFSET(INDIRECT("v_buffer_hist_hoy!$A$1"),1,MATCH("buh_velocity",INDIRECT("v_buffer_hist_hoy!$1:$1"),0)-1,100000,1),MATCH(CLEAN(TABLATRANSFERENCIA[[#This Row],[CODIGO]]),OFFSET(INDIRECT("v_buffer_hist_hoy!$A$1"),1,MATCH("buh_codigo",INDIRECT("v_buffer_hist_hoy!$1:$1"),0)-1,100000,1),0)),"")</f>
        <v>0</v>
      </c>
      <c r="U14" s="46">
        <f ca="1">IFERROR(INDEX(OFFSET(INDIRECT("v_buffer_hist_hoy!$A$1"),1,MATCH("buh_nivel_servicio",INDIRECT("v_buffer_hist_hoy!$1:$1"),0)-1,100000,1),MATCH(CLEAN(TABLATRANSFERENCIA[[#This Row],[CODIGO]]),OFFSET(INDIRECT("v_buffer_hist_hoy!$A$1"),1,MATCH("buh_codigo",INDIRECT("v_buffer_hist_hoy!$1:$1"),0)-1,100000,1),0)),"")</f>
        <v>1</v>
      </c>
      <c r="V14" s="49" t="str">
        <f ca="1">IFERROR(INDEX(OFFSET(INDIRECT("v_buffer_hist_hoy!$A$1"),1,MATCH("pro_nombre",INDIRECT("v_buffer_hist_hoy!$1:$1"),0)-1,100000,1),MATCH(CLEAN(TABLATRANSFERENCIA[[#This Row],[CODIGO]]),OFFSET(INDIRECT("v_buffer_hist_hoy!$A$1"),1,MATCH("buh_codigo",INDIRECT("v_buffer_hist_hoy!$1:$1"),0)-1,100000,1),0)),"")</f>
        <v>Sinochem</v>
      </c>
      <c r="W14" s="49" t="str">
        <f ca="1">IFERROR(INDEX(OFFSET(INDIRECT("v_buffer_hist_hoy!$A$1"),1,MATCH("pre_nombre",INDIRECT("v_buffer_hist_hoy!$1:$1"),0)-1,100000,1),MATCH(CLEAN(TABLATRANSFERENCIA[[#This Row],[CODIGO]]),OFFSET(INDIRECT("v_buffer_hist_hoy!$A$1"),1,MATCH("buh_codigo",INDIRECT("v_buffer_hist_hoy!$1:$1"),0)-1,100000,1),0)),"")</f>
        <v>CHINA</v>
      </c>
      <c r="X14" s="51">
        <f ca="1">IFERROR(INDEX(OFFSET(INDIRECT("v_buffer_hist_hoy!$A$1"),1,MATCH("buh_tiempo_suministro",INDIRECT("v_buffer_hist_hoy!$1:$1"),0)-1,100000,1),MATCH(CLEAN(TABLATRANSFERENCIA[[#This Row],[CODIGO]]),OFFSET(INDIRECT("v_buffer_hist_hoy!$A$1"),1,MATCH("buh_codigo",INDIRECT("v_buffer_hist_hoy!$1:$1"),0)-1,100000,1),0)),"")</f>
        <v>12</v>
      </c>
      <c r="Y14" s="51">
        <f ca="1">IFERROR(INDEX(OFFSET(INDIRECT("v_buffer_hist_hoy!$A$1"),1,MATCH("buh_frecuencia_reposicion",INDIRECT("v_buffer_hist_hoy!$1:$1"),0)-1,100000,1),MATCH(CLEAN(TABLATRANSFERENCIA[[#This Row],[CODIGO]]),OFFSET(INDIRECT("v_buffer_hist_hoy!$A$1"),1,MATCH("buh_codigo",INDIRECT("v_buffer_hist_hoy!$1:$1"),0)-1,100000,1),0)),"")</f>
        <v>4</v>
      </c>
      <c r="Z14" s="6">
        <f ca="1">IFERROR(INDEX(OFFSET(INDIRECT("v_buffer_hist_hoy!$A$1"),1,MATCH("buh_buffer_actual",INDIRECT("v_buffer_hist_hoy!$1:$1"),0)-1,100000,1),MATCH(CLEAN(TABLATRANSFERENCIA[[#This Row],[CODIGO]]),OFFSET(INDIRECT("v_buffer_hist_hoy!$A$1"),1,MATCH("buh_codigo",INDIRECT("v_buffer_hist_hoy!$1:$1"),0)-1,100000,1),0)),"")</f>
        <v>6000</v>
      </c>
      <c r="AA14" s="6">
        <f ca="1">IFERROR(INDEX(OFFSET(INDIRECT("v_buffer_hist_hoy!$A$1"),1,MATCH("buh_inventario_fisico",INDIRECT("v_buffer_hist_hoy!$1:$1"),0)-1,100000,1),MATCH(CLEAN(TABLATRANSFERENCIA[[#This Row],[CODIGO]]),OFFSET(INDIRECT("v_buffer_hist_hoy!$A$1"),1,MATCH("buh_codigo",INDIRECT("v_buffer_hist_hoy!$1:$1"),0)-1,100000,1),0)),"")</f>
        <v>2669</v>
      </c>
      <c r="AB14" s="4">
        <f ca="1">IFERROR(INDEX(OFFSET(INDIRECT("v_buffer_hist_hoy!$A$1"),1,MATCH("buh_estado_inventario_fisico",INDIRECT("v_buffer_hist_hoy!$1:$1"),0)-1,100000,1),MATCH(CLEAN(TABLATRANSFERENCIA[[#This Row],[CODIGO]]),OFFSET(INDIRECT("v_buffer_hist_hoy!$A$1"),1,MATCH("buh_codigo",INDIRECT("v_buffer_hist_hoy!$1:$1"),0)-1,100000,1),0)),"")</f>
        <v>0.56000000000000005</v>
      </c>
      <c r="AC14" s="6" t="str">
        <f ca="1">IFERROR(INDEX(OFFSET(INDIRECT("v_buffer_hist_hoy!$A$1"),1,MATCH("buh_color_inventario_fisico",INDIRECT("v_buffer_hist_hoy!$1:$1"),0)-1,100000,1),MATCH(CLEAN(TABLATRANSFERENCIA[[#This Row],[CODIGO]]),OFFSET(INDIRECT("v_buffer_hist_hoy!$A$1"),1,MATCH("buh_codigo",INDIRECT("v_buffer_hist_hoy!$1:$1"),0)-1,100000,1),0)),"")</f>
        <v>A</v>
      </c>
      <c r="AD14" s="6">
        <f ca="1">IFERROR(INDEX(OFFSET(INDIRECT("v_buffer_hist_hoy!$A$1"),1,MATCH("buh_transito",INDIRECT("v_buffer_hist_hoy!$1:$1"),0)-1,100000,1),MATCH(CLEAN(TABLATRANSFERENCIA[[#This Row],[CODIGO]]),OFFSET(INDIRECT("v_buffer_hist_hoy!$A$1"),1,MATCH("buh_codigo",INDIRECT("v_buffer_hist_hoy!$1:$1"),0)-1,100000,1),0)),"")</f>
        <v>0</v>
      </c>
      <c r="AE14" s="6">
        <f ca="1">IFERROR(INDEX(OFFSET(INDIRECT("v_buffer_hist_hoy!$A$1"),1,MATCH("buh_negociacion",INDIRECT("v_buffer_hist_hoy!$1:$1"),0)-1,100000,1),MATCH(CLEAN(TABLATRANSFERENCIA[[#This Row],[CODIGO]]),OFFSET(INDIRECT("v_buffer_hist_hoy!$A$1"),1,MATCH("buh_codigo",INDIRECT("v_buffer_hist_hoy!$1:$1"),0)-1,100000,1),0)),"")</f>
        <v>0</v>
      </c>
      <c r="AF14" s="6">
        <f ca="1">IFERROR(INDEX(OFFSET(INDIRECT("v_buffer_hist_hoy!$A$1"),1,MATCH("buh_produccion",INDIRECT("v_buffer_hist_hoy!$1:$1"),0)-1,100000,1),MATCH(CLEAN(TABLATRANSFERENCIA[[#This Row],[CODIGO]]),OFFSET(INDIRECT("v_buffer_hist_hoy!$A$1"),1,MATCH("buh_codigo",INDIRECT("v_buffer_hist_hoy!$1:$1"),0)-1,100000,1),0)),"")</f>
        <v>0</v>
      </c>
      <c r="AG14" s="6">
        <f ca="1">IFERROR(INDEX(OFFSET(INDIRECT("v_buffer_hist_hoy!$A$1"),1,MATCH("buh_embarcado",INDIRECT("v_buffer_hist_hoy!$1:$1"),0)-1,100000,1),MATCH(CLEAN(TABLATRANSFERENCIA[[#This Row],[CODIGO]]),OFFSET(INDIRECT("v_buffer_hist_hoy!$A$1"),1,MATCH("buh_codigo",INDIRECT("v_buffer_hist_hoy!$1:$1"),0)-1,100000,1),0)),"")</f>
        <v>0</v>
      </c>
      <c r="AH14" s="6">
        <f ca="1">IFERROR(INDEX(OFFSET(INDIRECT("v_buffer_hist_hoy!$A$1"),1,MATCH("buh_comprometido",INDIRECT("v_buffer_hist_hoy!$1:$1"),0)-1,100000,1),MATCH(CLEAN(TABLATRANSFERENCIA[[#This Row],[CODIGO]]),OFFSET(INDIRECT("v_buffer_hist_hoy!$A$1"),1,MATCH("buh_codigo",INDIRECT("v_buffer_hist_hoy!$1:$1"),0)-1,100000,1),0)),"")</f>
        <v>0</v>
      </c>
      <c r="AI14" s="6">
        <f ca="1">IFERROR(INDEX(OFFSET(INDIRECT("v_buffer_hist_hoy!$A$1"),1,MATCH("buh_backorder",INDIRECT("v_buffer_hist_hoy!$1:$1"),0)-1,100000,1),MATCH(CLEAN(TABLATRANSFERENCIA[[#This Row],[CODIGO]]),OFFSET(INDIRECT("v_buffer_hist_hoy!$A$1"),1,MATCH("buh_codigo",INDIRECT("v_buffer_hist_hoy!$1:$1"),0)-1,100000,1),0)),"")</f>
        <v>0</v>
      </c>
      <c r="AJ14" s="6">
        <f ca="1">IFERROR(INDEX(OFFSET(INDIRECT("v_buffer_hist_hoy!$A$1"),1,MATCH("buh_inventario_proyectado",INDIRECT("v_buffer_hist_hoy!$1:$1"),0)-1,100000,1),MATCH(CLEAN(TABLATRANSFERENCIA[[#This Row],[CODIGO]]),OFFSET(INDIRECT("v_buffer_hist_hoy!$A$1"),1,MATCH("buh_codigo",INDIRECT("v_buffer_hist_hoy!$1:$1"),0)-1,100000,1),0)),"")</f>
        <v>2669</v>
      </c>
      <c r="AK14" s="4">
        <f ca="1">IFERROR(INDEX(OFFSET(INDIRECT("v_buffer_hist_hoy!$A$1"),1,MATCH("buh_estado_inventario_proyectado",INDIRECT("v_buffer_hist_hoy!$1:$1"),0)-1,100000,1),MATCH(CLEAN(TABLATRANSFERENCIA[[#This Row],[CODIGO]]),OFFSET(INDIRECT("v_buffer_hist_hoy!$A$1"),1,MATCH("buh_codigo",INDIRECT("v_buffer_hist_hoy!$1:$1"),0)-1,100000,1),0)),"")</f>
        <v>0.56000000000000005</v>
      </c>
      <c r="AL14" s="6" t="str">
        <f ca="1">IFERROR(INDEX(OFFSET(INDIRECT("v_buffer_hist_hoy!$A$1"),1,MATCH("buh_color_inventario_proyectado",INDIRECT("v_buffer_hist_hoy!$1:$1"),0)-1,100000,1),MATCH(CLEAN(TABLATRANSFERENCIA[[#This Row],[CODIGO]]),OFFSET(INDIRECT("v_buffer_hist_hoy!$A$1"),1,MATCH("buh_codigo",INDIRECT("v_buffer_hist_hoy!$1:$1"),0)-1,100000,1),0)),"")</f>
        <v>A</v>
      </c>
      <c r="AM14" s="6">
        <f ca="1">IFERROR(INDEX(OFFSET(INDIRECT("v_buffer_hist_hoy!$A$1"),1,MATCH("buh_pedido_minimo",INDIRECT("v_buffer_hist_hoy!$1:$1"),0)-1,100000,1),MATCH(CLEAN(TABLATRANSFERENCIA[[#This Row],[CODIGO]]),OFFSET(INDIRECT("v_buffer_hist_hoy!$A$1"),1,MATCH("buh_codigo",INDIRECT("v_buffer_hist_hoy!$1:$1"),0)-1,100000,1),0)),"")</f>
        <v>0</v>
      </c>
      <c r="AN14" s="6">
        <f ca="1">IFERROR(INDEX(OFFSET(INDIRECT("v_buffer_hist_hoy!$A$1"),1,MATCH("buh_pedido_minimo_grupo",INDIRECT("v_buffer_hist_hoy!$1:$1"),0)-1,100000,1),MATCH(CLEAN(TABLATRANSFERENCIA[[#This Row],[CODIGO]]),OFFSET(INDIRECT("v_buffer_hist_hoy!$A$1"),1,MATCH("buh_codigo",INDIRECT("v_buffer_hist_hoy!$1:$1"),0)-1,100000,1),0)),"")</f>
        <v>0</v>
      </c>
      <c r="AO14" s="6">
        <f ca="1">IFERROR(INDEX(OFFSET(INDIRECT("v_buffer_hist_hoy!$A$1"),1,MATCH("buh_unidad_empaque",INDIRECT("v_buffer_hist_hoy!$1:$1"),0)-1,100000,1),MATCH(CLEAN(TABLATRANSFERENCIA[[#This Row],[CODIGO]]),OFFSET(INDIRECT("v_buffer_hist_hoy!$A$1"),1,MATCH("buh_codigo",INDIRECT("v_buffer_hist_hoy!$1:$1"),0)-1,100000,1),0)),"")</f>
        <v>0</v>
      </c>
      <c r="AP14" s="6">
        <f ca="1">IFERROR(INDEX(OFFSET(INDIRECT("v_buffer_hist_hoy!$A$1"),1,MATCH("buh_pedido_promedio",INDIRECT("v_buffer_hist_hoy!$1:$1"),0)-1,100000,1),MATCH(CLEAN(TABLATRANSFERENCIA[[#This Row],[CODIGO]]),OFFSET(INDIRECT("v_buffer_hist_hoy!$A$1"),1,MATCH("buh_codigo",INDIRECT("v_buffer_hist_hoy!$1:$1"),0)-1,100000,1),0)),"")</f>
        <v>1500</v>
      </c>
      <c r="AQ14" s="6">
        <f ca="1">IFERROR(INDEX(OFFSET(INDIRECT("v_buffer_hist_hoy!$A$1"),1,MATCH("buh_cobertura_buffer",INDIRECT("v_buffer_hist_hoy!$1:$1"),0)-1,100000,1),MATCH(CLEAN(TABLATRANSFERENCIA[[#This Row],[CODIGO]]),OFFSET(INDIRECT("v_buffer_hist_hoy!$A$1"),1,MATCH("buh_codigo",INDIRECT("v_buffer_hist_hoy!$1:$1"),0)-1,100000,1),0)),"")</f>
        <v>0</v>
      </c>
      <c r="AR14" s="6">
        <f ca="1">IFERROR(INDEX(OFFSET(INDIRECT("v_buffer_hist_hoy!$A$1"),1,MATCH("buh_cobertura_inventario_proyectado",INDIRECT("v_buffer_hist_hoy!$1:$1"),0)-1,100000,1),MATCH(CLEAN(TABLATRANSFERENCIA[[#This Row],[CODIGO]]),OFFSET(INDIRECT("v_buffer_hist_hoy!$A$1"),1,MATCH("buh_codigo",INDIRECT("v_buffer_hist_hoy!$1:$1"),0)-1,100000,1),0)),"")</f>
        <v>0</v>
      </c>
      <c r="AS14" s="6">
        <f ca="1">IFERROR(INDEX(OFFSET(INDIRECT("v_buffer_hist_hoy!$A$1"),1,MATCH("buh_cobertura_pedido_minimo",INDIRECT("v_buffer_hist_hoy!$1:$1"),0)-1,100000,1),MATCH(CLEAN(TABLATRANSFERENCIA[[#This Row],[CODIGO]]),OFFSET(INDIRECT("v_buffer_hist_hoy!$A$1"),1,MATCH("buh_codigo",INDIRECT("v_buffer_hist_hoy!$1:$1"),0)-1,100000,1),0)),"")</f>
        <v>0</v>
      </c>
      <c r="AT14" s="6">
        <f ca="1">IFERROR(INDEX(OFFSET(INDIRECT("v_buffer_hist_hoy!$A$1"),1,MATCH("buh_dias_desabastecimiento",INDIRECT("v_buffer_hist_hoy!$1:$1"),0)-1,100000,1),MATCH(CLEAN(TABLATRANSFERENCIA[[#This Row],[CODIGO]]),OFFSET(INDIRECT("v_buffer_hist_hoy!$A$1"),1,MATCH("buh_codigo",INDIRECT("v_buffer_hist_hoy!$1:$1"),0)-1,100000,1),0)),"")</f>
        <v>2</v>
      </c>
      <c r="AU14" s="6">
        <f t="array" ref="AU14">IFERROR(INDEX(Datos_Consumo[CANTIDAD],MATCH(TABLATRANSFERENCIA[[#This Row],[CODIGO]]&amp;TABLATRANSFERENCIA[[#Headers],[Columna1]],Datos_Consumo[CODIGO]&amp;Datos_Consumo[FECHA_FORMATO],0)),0)</f>
        <v>0</v>
      </c>
      <c r="AV14" s="6">
        <f t="array" ref="AV14">IFERROR(INDEX(Datos_Consumo[CANTIDAD],MATCH(TABLATRANSFERENCIA[[#This Row],[CODIGO]]&amp;TABLATRANSFERENCIA[[#Headers],[Columna2]],Datos_Consumo[CODIGO]&amp;Datos_Consumo[FECHA_FORMATO],0)),0)</f>
        <v>0</v>
      </c>
      <c r="AW14" s="6">
        <f t="array" ref="AW14">IFERROR(INDEX(Datos_Consumo[CANTIDAD],MATCH(TABLATRANSFERENCIA[[#This Row],[CODIGO]]&amp;TABLATRANSFERENCIA[[#Headers],[Columna3]],Datos_Consumo[CODIGO]&amp;Datos_Consumo[FECHA_FORMATO],0)),0)</f>
        <v>0</v>
      </c>
      <c r="AX14" s="6">
        <f t="array" ref="AX14">IFERROR(INDEX(Datos_Consumo[CANTIDAD],MATCH(TABLATRANSFERENCIA[[#This Row],[CODIGO]]&amp;TABLATRANSFERENCIA[[#Headers],[Columna4]],Datos_Consumo[CODIGO]&amp;Datos_Consumo[FECHA_FORMATO],0)),0)</f>
        <v>0</v>
      </c>
      <c r="AY14" s="6">
        <f t="array" ref="AY14">IFERROR(INDEX(Datos_Consumo[CANTIDAD],MATCH(TABLATRANSFERENCIA[[#This Row],[CODIGO]]&amp;TABLATRANSFERENCIA[[#Headers],[Columna5]],Datos_Consumo[CODIGO]&amp;Datos_Consumo[FECHA_FORMATO],0)),0)</f>
        <v>0</v>
      </c>
      <c r="AZ14" s="6">
        <f t="array" ref="AZ14">IFERROR(INDEX(Datos_Consumo[CANTIDAD],MATCH(TABLATRANSFERENCIA[[#This Row],[CODIGO]]&amp;TABLATRANSFERENCIA[[#Headers],[Columna6]],Datos_Consumo[CODIGO]&amp;Datos_Consumo[FECHA_FORMATO],0)),0)</f>
        <v>0</v>
      </c>
      <c r="BA14" s="54">
        <f ca="1">IFERROR(INDEX(OFFSET(INDIRECT("v_buffer_hist_hoy!$A$1"),1,MATCH("buh_ultima_transferencia_ini",INDIRECT("v_buffer_hist_hoy!$1:$1"),0)-1,100000,1),MATCH(CLEAN(TABLATRANSFERENCIA[[#This Row],[CODIGO]]),OFFSET(INDIRECT("v_buffer_hist_hoy!$A$1"),1,MATCH("buh_codigo",INDIRECT("v_buffer_hist_hoy!$1:$1"),0)-1,100000,1),0)),"")</f>
        <v>0</v>
      </c>
      <c r="BB14" s="54">
        <f ca="1">IFERROR(INDEX(OFFSET(INDIRECT("v_buffer_hist_hoy!$A$1"),1,MATCH("buh_ultima_transferencia_fin",INDIRECT("v_buffer_hist_hoy!$1:$1"),0)-1,100000,1),MATCH(CLEAN(TABLATRANSFERENCIA[[#This Row],[CODIGO]]),OFFSET(INDIRECT("v_buffer_hist_hoy!$A$1"),1,MATCH("buh_codigo",INDIRECT("v_buffer_hist_hoy!$1:$1"),0)-1,100000,1),0)),"")</f>
        <v>0</v>
      </c>
      <c r="BC14" s="63">
        <v>4000</v>
      </c>
      <c r="BD14" s="67">
        <v>4000</v>
      </c>
      <c r="BE14" s="51"/>
      <c r="BF14" s="51">
        <f>IF(RIGHT(TABLATRANSFERENCIA[[#Headers],[Emb1]],1)*1&lt;=TABLATRANSFERENCIA[[#This Row],[EMBARQUES]],IF(ISBLANK(TABLATRANSFERENCIA[[#This Row],[EMBARQUES]]),TABLATRANSFERENCIA[[#This Row],[REQUERIM]],ROUND(TABLATRANSFERENCIA[[#This Row],[REQUERIM]]/TABLATRANSFERENCIA[[#This Row],[EMBARQUES]],0)),TABLATRANSFERENCIA[[#This Row],[REQUERIM]])</f>
        <v>4000</v>
      </c>
      <c r="BG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4" s="51"/>
      <c r="BL14" s="46">
        <f ca="1">IFERROR(TABLATRANSFERENCIA[[#This Row],[REQUERIM]]/TABLATRANSFERENCIA[[#This Row],[PEDIDO PROMEDIO]],0)</f>
        <v>2.6666666666666665</v>
      </c>
      <c r="BM14" s="71">
        <v>4000</v>
      </c>
      <c r="BN14" s="58"/>
      <c r="BO14" s="3">
        <f>IF(TABLATRANSFERENCIA[[#This Row],[RECIBIDO]]&lt;&gt;"",0,IF(TABLATRANSFERENCIA[[#This Row],[DESPACHO]]&lt;&gt;"",TABLATRANSFERENCIA[[#This Row],[DESPACHO]],TABLATRANSFERENCIA[[#This Row],[REQUERIM]]))</f>
        <v>4000</v>
      </c>
      <c r="BP14" s="50"/>
      <c r="BQ14" s="50"/>
      <c r="BR14" s="50" t="str">
        <f>"N"</f>
        <v>N</v>
      </c>
      <c r="BS14" s="51">
        <f t="array" aca="1" ref="BS14" ca="1">IF(SUM(--(TABLATRANSFERENCIA[[#This Row],[CODIGO GENERICO]]=TABLATRANSFERENCIA[CODIGO GENERICO])*TABLATRANSFERENCIA[REQUERIM])&lt;TABLATRANSFERENCIA[[#This Row],[PEDIDO MIN GRUPO]],1,0)</f>
        <v>0</v>
      </c>
      <c r="BT1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U14" s="51">
        <f ca="1">IFERROR(INDEX(OFFSET(INDIRECT("v_buffer_hist_hoy!$A$1"),1,MATCH("buh_zona_amarilla",INDIRECT("v_buffer_hist_hoy!$1:$1"),0)-1,100000,1),MATCH(CLEAN(TABLATRANSFERENCIA[[#This Row],[CODIGO]]),OFFSET(INDIRECT("v_buffer_hist_hoy!$A$1"),1,MATCH("buh_codigo",INDIRECT("v_buffer_hist_hoy!$1:$1"),0)-1,100000,1),0)),"")</f>
        <v>3990</v>
      </c>
      <c r="BV14" s="51">
        <f ca="1">IFERROR(INDEX(OFFSET(INDIRECT("v_buffer_hist_hoy!$A$1"),1,MATCH("buh_zona_roja",INDIRECT("v_buffer_hist_hoy!$1:$1"),0)-1,100000,1),MATCH(CLEAN(TABLATRANSFERENCIA[[#This Row],[CODIGO]]),OFFSET(INDIRECT("v_buffer_hist_hoy!$A$1"),1,MATCH("buh_codigo",INDIRECT("v_buffer_hist_hoy!$1:$1"),0)-1,100000,1),0)),"")</f>
        <v>1980</v>
      </c>
    </row>
    <row r="15" spans="1:74" x14ac:dyDescent="0.25">
      <c r="A15" s="59" t="s">
        <v>1292</v>
      </c>
      <c r="B15" s="3" t="str">
        <f ca="1">IFERROR(INDEX(OFFSET(INDIRECT("v_buffer_hist_hoy!$A$1"),1,MATCH("pro_descripcion",INDIRECT("v_buffer_hist_hoy!$1:$1"),0)-1,100000,1),MATCH(CLEAN(TABLATRANSFERENCIA[[#This Row],[CODIGO]]),OFFSET(INDIRECT("v_buffer_hist_hoy!$A$1"),1,MATCH("buh_codigo",INDIRECT("v_buffer_hist_hoy!$1:$1"),0)-1,100000,1),0)),"")</f>
        <v>ENVASE CHINO COEX X 100CC</v>
      </c>
      <c r="C15" s="3" t="str">
        <f ca="1">IFERROR(INDEX(OFFSET(INDIRECT("v_buffer_hist_hoy!$A$1"),1,MATCH("buh_codigo_generico",INDIRECT("v_buffer_hist_hoy!$1:$1"),0)-1,100000,1),MATCH(CLEAN(TABLATRANSFERENCIA[[#This Row],[CODIGO]]),OFFSET(INDIRECT("v_buffer_hist_hoy!$A$1"),1,MATCH("buh_codigo",INDIRECT("v_buffer_hist_hoy!$1:$1"),0)-1,100000,1),0)),"")</f>
        <v>0</v>
      </c>
      <c r="D15" s="3" t="str">
        <f ca="1">IFERROR(INDEX(OFFSET(INDIRECT("v_buffer_hist_hoy!$A$1"),1,MATCH("buh_codigo_vinculado",INDIRECT("v_buffer_hist_hoy!$1:$1"),0)-1,100000,1),MATCH(CLEAN(TABLATRANSFERENCIA[[#This Row],[CODIGO]]),OFFSET(INDIRECT("v_buffer_hist_hoy!$A$1"),1,MATCH("buh_codigo",INDIRECT("v_buffer_hist_hoy!$1:$1"),0)-1,100000,1),0)),"")</f>
        <v>MPPRENCOC-100CC</v>
      </c>
      <c r="E15" s="3" t="str">
        <f ca="1">IFERROR(INDEX(OFFSET(INDIRECT("v_buffer_hist_hoy!$A$1"),1,MATCH("pro_linea",INDIRECT("v_buffer_hist_hoy!$1:$1"),0)-1,100000,1),MATCH(CLEAN(TABLATRANSFERENCIA[[#This Row],[CODIGO]]),OFFSET(INDIRECT("v_buffer_hist_hoy!$A$1"),1,MATCH("buh_codigo",INDIRECT("v_buffer_hist_hoy!$1:$1"),0)-1,100000,1),0)),"")</f>
        <v>PRODUCCION</v>
      </c>
      <c r="F15" s="3">
        <f ca="1">IFERROR(INDEX(OFFSET(INDIRECT("v_buffer_hist_hoy!$A$1"),1,MATCH("pro_sublinea",INDIRECT("v_buffer_hist_hoy!$1:$1"),0)-1,100000,1),MATCH(CLEAN(TABLATRANSFERENCIA[[#This Row],[CODIGO]]),OFFSET(INDIRECT("v_buffer_hist_hoy!$A$1"),1,MATCH("buh_codigo",INDIRECT("v_buffer_hist_hoy!$1:$1"),0)-1,100000,1),0)),"")</f>
        <v>0</v>
      </c>
      <c r="G15" s="3" t="str">
        <f ca="1">IFERROR(INDEX(OFFSET(INDIRECT("v_buffer_hist_hoy!$A$1"),1,MATCH("pro_grupo",INDIRECT("v_buffer_hist_hoy!$1:$1"),0)-1,100000,1),MATCH(CLEAN(TABLATRANSFERENCIA[[#This Row],[CODIGO]]),OFFSET(INDIRECT("v_buffer_hist_hoy!$A$1"),1,MATCH("buh_codigo",INDIRECT("v_buffer_hist_hoy!$1:$1"),0)-1,100000,1),0)),"")</f>
        <v>ENVASES</v>
      </c>
      <c r="H15" s="3">
        <f ca="1">IFERROR(INDEX(OFFSET(INDIRECT("v_buffer_hist_hoy!$A$1"),1,MATCH("pro_familia",INDIRECT("v_buffer_hist_hoy!$1:$1"),0)-1,100000,1),MATCH(CLEAN(TABLATRANSFERENCIA[[#This Row],[CODIGO]]),OFFSET(INDIRECT("v_buffer_hist_hoy!$A$1"),1,MATCH("buh_codigo",INDIRECT("v_buffer_hist_hoy!$1:$1"),0)-1,100000,1),0)),"")</f>
        <v>0</v>
      </c>
      <c r="I15" s="3">
        <f ca="1">IFERROR(INDEX(OFFSET(INDIRECT("v_buffer_hist_hoy!$A$1"),1,MATCH("pro_subfamilia",INDIRECT("v_buffer_hist_hoy!$1:$1"),0)-1,100000,1),MATCH(CLEAN(TABLATRANSFERENCIA[[#This Row],[CODIGO]]),OFFSET(INDIRECT("v_buffer_hist_hoy!$A$1"),1,MATCH("buh_codigo",INDIRECT("v_buffer_hist_hoy!$1:$1"),0)-1,100000,1),0)),"")</f>
        <v>0</v>
      </c>
      <c r="J15" s="3" t="str">
        <f ca="1">IFERROR(INDEX(OFFSET(INDIRECT("v_buffer_hist_hoy!$A$1"),1,MATCH("pro_categoria",INDIRECT("v_buffer_hist_hoy!$1:$1"),0)-1,100000,1),MATCH(CLEAN(TABLATRANSFERENCIA[[#This Row],[CODIGO]]),OFFSET(INDIRECT("v_buffer_hist_hoy!$A$1"),1,MATCH("buh_codigo",INDIRECT("v_buffer_hist_hoy!$1:$1"),0)-1,100000,1),0)),"")</f>
        <v xml:space="preserve">ENVASES </v>
      </c>
      <c r="K15" s="3">
        <f ca="1">IFERROR(INDEX(OFFSET(INDIRECT("v_buffer_hist_hoy!$A$1"),1,MATCH("pro_tipo",INDIRECT("v_buffer_hist_hoy!$1:$1"),0)-1,100000,1),MATCH(CLEAN(TABLATRANSFERENCIA[[#This Row],[CODIGO]]),OFFSET(INDIRECT("v_buffer_hist_hoy!$A$1"),1,MATCH("buh_codigo",INDIRECT("v_buffer_hist_hoy!$1:$1"),0)-1,100000,1),0)),"")</f>
        <v>0</v>
      </c>
      <c r="L15" s="3" t="str">
        <f ca="1">IFERROR(INDEX(OFFSET(INDIRECT("v_buffer_hist_hoy!$A$1"),1,MATCH("pro_marca",INDIRECT("v_buffer_hist_hoy!$1:$1"),0)-1,100000,1),MATCH(CLEAN(TABLATRANSFERENCIA[[#This Row],[CODIGO]]),OFFSET(INDIRECT("v_buffer_hist_hoy!$A$1"),1,MATCH("buh_codigo",INDIRECT("v_buffer_hist_hoy!$1:$1"),0)-1,100000,1),0)),"")</f>
        <v>SINOCHEM</v>
      </c>
      <c r="M15" s="3">
        <f ca="1">IFERROR(INDEX(OFFSET(INDIRECT("v_buffer_hist_hoy!$A$1"),1,MATCH("pro_modelo",INDIRECT("v_buffer_hist_hoy!$1:$1"),0)-1,100000,1),MATCH(CLEAN(TABLATRANSFERENCIA[[#This Row],[CODIGO]]),OFFSET(INDIRECT("v_buffer_hist_hoy!$A$1"),1,MATCH("buh_codigo",INDIRECT("v_buffer_hist_hoy!$1:$1"),0)-1,100000,1),0)),"")</f>
        <v>0</v>
      </c>
      <c r="N15" s="3">
        <f ca="1">IFERROR(INDEX(OFFSET(INDIRECT("v_buffer_hist_hoy!$A$1"),1,MATCH("pro_cat_management",INDIRECT("v_buffer_hist_hoy!$1:$1"),0)-1,100000,1),MATCH(CLEAN(TABLATRANSFERENCIA[[#This Row],[CODIGO]]),OFFSET(INDIRECT("v_buffer_hist_hoy!$A$1"),1,MATCH("buh_codigo",INDIRECT("v_buffer_hist_hoy!$1:$1"),0)-1,100000,1),0)),"")</f>
        <v>0</v>
      </c>
      <c r="O15" s="5" t="str">
        <f ca="1">IFERROR(INDEX(OFFSET(INDIRECT("v_buffer_hist_hoy!$A$1"),1,MATCH("buh_estatus",INDIRECT("v_buffer_hist_hoy!$1:$1"),0)-1,100000,1),MATCH(CLEAN(TABLATRANSFERENCIA[[#This Row],[CODIGO]]),OFFSET(INDIRECT("v_buffer_hist_hoy!$A$1"),1,MATCH("buh_codigo",INDIRECT("v_buffer_hist_hoy!$1:$1"),0)-1,100000,1),0)),"")</f>
        <v>0</v>
      </c>
      <c r="P15" s="5">
        <f ca="1">IFERROR(INDEX(OFFSET(INDIRECT("v_buffer_hist_hoy!$A$1"),1,MATCH("buh_ctv",INDIRECT("v_buffer_hist_hoy!$1:$1"),0)-1,100000,1),MATCH(CLEAN(TABLATRANSFERENCIA[[#This Row],[CODIGO]]),OFFSET(INDIRECT("v_buffer_hist_hoy!$A$1"),1,MATCH("buh_codigo",INDIRECT("v_buffer_hist_hoy!$1:$1"),0)-1,100000,1),0)),"")</f>
        <v>0.22</v>
      </c>
      <c r="Q15" s="5">
        <f ca="1">IFERROR(INDEX(OFFSET(INDIRECT("v_buffer_hist_hoy!$A$1"),1,MATCH("buh_pv",INDIRECT("v_buffer_hist_hoy!$1:$1"),0)-1,100000,1),MATCH(CLEAN(TABLATRANSFERENCIA[[#This Row],[CODIGO]]),OFFSET(INDIRECT("v_buffer_hist_hoy!$A$1"),1,MATCH("buh_codigo",INDIRECT("v_buffer_hist_hoy!$1:$1"),0)-1,100000,1),0)),"")</f>
        <v>0</v>
      </c>
      <c r="R15" s="46">
        <f ca="1">IFERROR(INDEX(OFFSET(INDIRECT("v_buffer_hist_hoy!$A$1"),1,MATCH("buh_roi_pasado",INDIRECT("v_buffer_hist_hoy!$1:$1"),0)-1,100000,1),MATCH(CLEAN(TABLATRANSFERENCIA[[#This Row],[CODIGO]]),OFFSET(INDIRECT("v_buffer_hist_hoy!$A$1"),1,MATCH("buh_codigo",INDIRECT("v_buffer_hist_hoy!$1:$1"),0)-1,100000,1),0)),"")</f>
        <v>0</v>
      </c>
      <c r="S15" s="46">
        <f ca="1">IFERROR(INDEX(OFFSET(INDIRECT("v_buffer_hist_hoy!$A$1"),1,MATCH("buh_roi_proyectado",INDIRECT("v_buffer_hist_hoy!$1:$1"),0)-1,100000,1),MATCH(CLEAN(TABLATRANSFERENCIA[[#This Row],[CODIGO]]),OFFSET(INDIRECT("v_buffer_hist_hoy!$A$1"),1,MATCH("buh_codigo",INDIRECT("v_buffer_hist_hoy!$1:$1"),0)-1,100000,1),0)),"")</f>
        <v>-3</v>
      </c>
      <c r="T15" s="46">
        <f ca="1">IFERROR(INDEX(OFFSET(INDIRECT("v_buffer_hist_hoy!$A$1"),1,MATCH("buh_velocity",INDIRECT("v_buffer_hist_hoy!$1:$1"),0)-1,100000,1),MATCH(CLEAN(TABLATRANSFERENCIA[[#This Row],[CODIGO]]),OFFSET(INDIRECT("v_buffer_hist_hoy!$A$1"),1,MATCH("buh_codigo",INDIRECT("v_buffer_hist_hoy!$1:$1"),0)-1,100000,1),0)),"")</f>
        <v>0</v>
      </c>
      <c r="U15" s="46">
        <f ca="1">IFERROR(INDEX(OFFSET(INDIRECT("v_buffer_hist_hoy!$A$1"),1,MATCH("buh_nivel_servicio",INDIRECT("v_buffer_hist_hoy!$1:$1"),0)-1,100000,1),MATCH(CLEAN(TABLATRANSFERENCIA[[#This Row],[CODIGO]]),OFFSET(INDIRECT("v_buffer_hist_hoy!$A$1"),1,MATCH("buh_codigo",INDIRECT("v_buffer_hist_hoy!$1:$1"),0)-1,100000,1),0)),"")</f>
        <v>1</v>
      </c>
      <c r="V15" s="49" t="str">
        <f ca="1">IFERROR(INDEX(OFFSET(INDIRECT("v_buffer_hist_hoy!$A$1"),1,MATCH("pro_nombre",INDIRECT("v_buffer_hist_hoy!$1:$1"),0)-1,100000,1),MATCH(CLEAN(TABLATRANSFERENCIA[[#This Row],[CODIGO]]),OFFSET(INDIRECT("v_buffer_hist_hoy!$A$1"),1,MATCH("buh_codigo",INDIRECT("v_buffer_hist_hoy!$1:$1"),0)-1,100000,1),0)),"")</f>
        <v>Sinochem</v>
      </c>
      <c r="W15" s="49" t="str">
        <f ca="1">IFERROR(INDEX(OFFSET(INDIRECT("v_buffer_hist_hoy!$A$1"),1,MATCH("pre_nombre",INDIRECT("v_buffer_hist_hoy!$1:$1"),0)-1,100000,1),MATCH(CLEAN(TABLATRANSFERENCIA[[#This Row],[CODIGO]]),OFFSET(INDIRECT("v_buffer_hist_hoy!$A$1"),1,MATCH("buh_codigo",INDIRECT("v_buffer_hist_hoy!$1:$1"),0)-1,100000,1),0)),"")</f>
        <v>CHINA</v>
      </c>
      <c r="X15" s="51">
        <f ca="1">IFERROR(INDEX(OFFSET(INDIRECT("v_buffer_hist_hoy!$A$1"),1,MATCH("buh_tiempo_suministro",INDIRECT("v_buffer_hist_hoy!$1:$1"),0)-1,100000,1),MATCH(CLEAN(TABLATRANSFERENCIA[[#This Row],[CODIGO]]),OFFSET(INDIRECT("v_buffer_hist_hoy!$A$1"),1,MATCH("buh_codigo",INDIRECT("v_buffer_hist_hoy!$1:$1"),0)-1,100000,1),0)),"")</f>
        <v>12</v>
      </c>
      <c r="Y15" s="51">
        <f ca="1">IFERROR(INDEX(OFFSET(INDIRECT("v_buffer_hist_hoy!$A$1"),1,MATCH("buh_frecuencia_reposicion",INDIRECT("v_buffer_hist_hoy!$1:$1"),0)-1,100000,1),MATCH(CLEAN(TABLATRANSFERENCIA[[#This Row],[CODIGO]]),OFFSET(INDIRECT("v_buffer_hist_hoy!$A$1"),1,MATCH("buh_codigo",INDIRECT("v_buffer_hist_hoy!$1:$1"),0)-1,100000,1),0)),"")</f>
        <v>4</v>
      </c>
      <c r="Z15" s="6">
        <f ca="1">IFERROR(INDEX(OFFSET(INDIRECT("v_buffer_hist_hoy!$A$1"),1,MATCH("buh_buffer_actual",INDIRECT("v_buffer_hist_hoy!$1:$1"),0)-1,100000,1),MATCH(CLEAN(TABLATRANSFERENCIA[[#This Row],[CODIGO]]),OFFSET(INDIRECT("v_buffer_hist_hoy!$A$1"),1,MATCH("buh_codigo",INDIRECT("v_buffer_hist_hoy!$1:$1"),0)-1,100000,1),0)),"")</f>
        <v>13300</v>
      </c>
      <c r="AA15" s="6">
        <f ca="1">IFERROR(INDEX(OFFSET(INDIRECT("v_buffer_hist_hoy!$A$1"),1,MATCH("buh_inventario_fisico",INDIRECT("v_buffer_hist_hoy!$1:$1"),0)-1,100000,1),MATCH(CLEAN(TABLATRANSFERENCIA[[#This Row],[CODIGO]]),OFFSET(INDIRECT("v_buffer_hist_hoy!$A$1"),1,MATCH("buh_codigo",INDIRECT("v_buffer_hist_hoy!$1:$1"),0)-1,100000,1),0)),"")</f>
        <v>764</v>
      </c>
      <c r="AB15" s="4">
        <f ca="1">IFERROR(INDEX(OFFSET(INDIRECT("v_buffer_hist_hoy!$A$1"),1,MATCH("buh_estado_inventario_fisico",INDIRECT("v_buffer_hist_hoy!$1:$1"),0)-1,100000,1),MATCH(CLEAN(TABLATRANSFERENCIA[[#This Row],[CODIGO]]),OFFSET(INDIRECT("v_buffer_hist_hoy!$A$1"),1,MATCH("buh_codigo",INDIRECT("v_buffer_hist_hoy!$1:$1"),0)-1,100000,1),0)),"")</f>
        <v>0.94</v>
      </c>
      <c r="AC15" s="6" t="str">
        <f ca="1">IFERROR(INDEX(OFFSET(INDIRECT("v_buffer_hist_hoy!$A$1"),1,MATCH("buh_color_inventario_fisico",INDIRECT("v_buffer_hist_hoy!$1:$1"),0)-1,100000,1),MATCH(CLEAN(TABLATRANSFERENCIA[[#This Row],[CODIGO]]),OFFSET(INDIRECT("v_buffer_hist_hoy!$A$1"),1,MATCH("buh_codigo",INDIRECT("v_buffer_hist_hoy!$1:$1"),0)-1,100000,1),0)),"")</f>
        <v>R</v>
      </c>
      <c r="AD15" s="6">
        <f ca="1">IFERROR(INDEX(OFFSET(INDIRECT("v_buffer_hist_hoy!$A$1"),1,MATCH("buh_transito",INDIRECT("v_buffer_hist_hoy!$1:$1"),0)-1,100000,1),MATCH(CLEAN(TABLATRANSFERENCIA[[#This Row],[CODIGO]]),OFFSET(INDIRECT("v_buffer_hist_hoy!$A$1"),1,MATCH("buh_codigo",INDIRECT("v_buffer_hist_hoy!$1:$1"),0)-1,100000,1),0)),"")</f>
        <v>5408</v>
      </c>
      <c r="AE15" s="6">
        <f ca="1">IFERROR(INDEX(OFFSET(INDIRECT("v_buffer_hist_hoy!$A$1"),1,MATCH("buh_negociacion",INDIRECT("v_buffer_hist_hoy!$1:$1"),0)-1,100000,1),MATCH(CLEAN(TABLATRANSFERENCIA[[#This Row],[CODIGO]]),OFFSET(INDIRECT("v_buffer_hist_hoy!$A$1"),1,MATCH("buh_codigo",INDIRECT("v_buffer_hist_hoy!$1:$1"),0)-1,100000,1),0)),"")</f>
        <v>0</v>
      </c>
      <c r="AF15" s="6">
        <f ca="1">IFERROR(INDEX(OFFSET(INDIRECT("v_buffer_hist_hoy!$A$1"),1,MATCH("buh_produccion",INDIRECT("v_buffer_hist_hoy!$1:$1"),0)-1,100000,1),MATCH(CLEAN(TABLATRANSFERENCIA[[#This Row],[CODIGO]]),OFFSET(INDIRECT("v_buffer_hist_hoy!$A$1"),1,MATCH("buh_codigo",INDIRECT("v_buffer_hist_hoy!$1:$1"),0)-1,100000,1),0)),"")</f>
        <v>0</v>
      </c>
      <c r="AG15" s="6">
        <f ca="1">IFERROR(INDEX(OFFSET(INDIRECT("v_buffer_hist_hoy!$A$1"),1,MATCH("buh_embarcado",INDIRECT("v_buffer_hist_hoy!$1:$1"),0)-1,100000,1),MATCH(CLEAN(TABLATRANSFERENCIA[[#This Row],[CODIGO]]),OFFSET(INDIRECT("v_buffer_hist_hoy!$A$1"),1,MATCH("buh_codigo",INDIRECT("v_buffer_hist_hoy!$1:$1"),0)-1,100000,1),0)),"")</f>
        <v>0</v>
      </c>
      <c r="AH15" s="6">
        <f ca="1">IFERROR(INDEX(OFFSET(INDIRECT("v_buffer_hist_hoy!$A$1"),1,MATCH("buh_comprometido",INDIRECT("v_buffer_hist_hoy!$1:$1"),0)-1,100000,1),MATCH(CLEAN(TABLATRANSFERENCIA[[#This Row],[CODIGO]]),OFFSET(INDIRECT("v_buffer_hist_hoy!$A$1"),1,MATCH("buh_codigo",INDIRECT("v_buffer_hist_hoy!$1:$1"),0)-1,100000,1),0)),"")</f>
        <v>0</v>
      </c>
      <c r="AI15" s="6">
        <f ca="1">IFERROR(INDEX(OFFSET(INDIRECT("v_buffer_hist_hoy!$A$1"),1,MATCH("buh_backorder",INDIRECT("v_buffer_hist_hoy!$1:$1"),0)-1,100000,1),MATCH(CLEAN(TABLATRANSFERENCIA[[#This Row],[CODIGO]]),OFFSET(INDIRECT("v_buffer_hist_hoy!$A$1"),1,MATCH("buh_codigo",INDIRECT("v_buffer_hist_hoy!$1:$1"),0)-1,100000,1),0)),"")</f>
        <v>0</v>
      </c>
      <c r="AJ15" s="6">
        <f ca="1">IFERROR(INDEX(OFFSET(INDIRECT("v_buffer_hist_hoy!$A$1"),1,MATCH("buh_inventario_proyectado",INDIRECT("v_buffer_hist_hoy!$1:$1"),0)-1,100000,1),MATCH(CLEAN(TABLATRANSFERENCIA[[#This Row],[CODIGO]]),OFFSET(INDIRECT("v_buffer_hist_hoy!$A$1"),1,MATCH("buh_codigo",INDIRECT("v_buffer_hist_hoy!$1:$1"),0)-1,100000,1),0)),"")</f>
        <v>6172</v>
      </c>
      <c r="AK15" s="4">
        <f ca="1">IFERROR(INDEX(OFFSET(INDIRECT("v_buffer_hist_hoy!$A$1"),1,MATCH("buh_estado_inventario_proyectado",INDIRECT("v_buffer_hist_hoy!$1:$1"),0)-1,100000,1),MATCH(CLEAN(TABLATRANSFERENCIA[[#This Row],[CODIGO]]),OFFSET(INDIRECT("v_buffer_hist_hoy!$A$1"),1,MATCH("buh_codigo",INDIRECT("v_buffer_hist_hoy!$1:$1"),0)-1,100000,1),0)),"")</f>
        <v>0.54</v>
      </c>
      <c r="AL15" s="6" t="str">
        <f ca="1">IFERROR(INDEX(OFFSET(INDIRECT("v_buffer_hist_hoy!$A$1"),1,MATCH("buh_color_inventario_proyectado",INDIRECT("v_buffer_hist_hoy!$1:$1"),0)-1,100000,1),MATCH(CLEAN(TABLATRANSFERENCIA[[#This Row],[CODIGO]]),OFFSET(INDIRECT("v_buffer_hist_hoy!$A$1"),1,MATCH("buh_codigo",INDIRECT("v_buffer_hist_hoy!$1:$1"),0)-1,100000,1),0)),"")</f>
        <v>A</v>
      </c>
      <c r="AM15" s="6">
        <f ca="1">IFERROR(INDEX(OFFSET(INDIRECT("v_buffer_hist_hoy!$A$1"),1,MATCH("buh_pedido_minimo",INDIRECT("v_buffer_hist_hoy!$1:$1"),0)-1,100000,1),MATCH(CLEAN(TABLATRANSFERENCIA[[#This Row],[CODIGO]]),OFFSET(INDIRECT("v_buffer_hist_hoy!$A$1"),1,MATCH("buh_codigo",INDIRECT("v_buffer_hist_hoy!$1:$1"),0)-1,100000,1),0)),"")</f>
        <v>0</v>
      </c>
      <c r="AN15" s="6">
        <f ca="1">IFERROR(INDEX(OFFSET(INDIRECT("v_buffer_hist_hoy!$A$1"),1,MATCH("buh_pedido_minimo_grupo",INDIRECT("v_buffer_hist_hoy!$1:$1"),0)-1,100000,1),MATCH(CLEAN(TABLATRANSFERENCIA[[#This Row],[CODIGO]]),OFFSET(INDIRECT("v_buffer_hist_hoy!$A$1"),1,MATCH("buh_codigo",INDIRECT("v_buffer_hist_hoy!$1:$1"),0)-1,100000,1),0)),"")</f>
        <v>0</v>
      </c>
      <c r="AO15" s="6">
        <f ca="1">IFERROR(INDEX(OFFSET(INDIRECT("v_buffer_hist_hoy!$A$1"),1,MATCH("buh_unidad_empaque",INDIRECT("v_buffer_hist_hoy!$1:$1"),0)-1,100000,1),MATCH(CLEAN(TABLATRANSFERENCIA[[#This Row],[CODIGO]]),OFFSET(INDIRECT("v_buffer_hist_hoy!$A$1"),1,MATCH("buh_codigo",INDIRECT("v_buffer_hist_hoy!$1:$1"),0)-1,100000,1),0)),"")</f>
        <v>0</v>
      </c>
      <c r="AP15" s="6">
        <f ca="1">IFERROR(INDEX(OFFSET(INDIRECT("v_buffer_hist_hoy!$A$1"),1,MATCH("buh_pedido_promedio",INDIRECT("v_buffer_hist_hoy!$1:$1"),0)-1,100000,1),MATCH(CLEAN(TABLATRANSFERENCIA[[#This Row],[CODIGO]]),OFFSET(INDIRECT("v_buffer_hist_hoy!$A$1"),1,MATCH("buh_codigo",INDIRECT("v_buffer_hist_hoy!$1:$1"),0)-1,100000,1),0)),"")</f>
        <v>3325</v>
      </c>
      <c r="AQ15" s="6">
        <f ca="1">IFERROR(INDEX(OFFSET(INDIRECT("v_buffer_hist_hoy!$A$1"),1,MATCH("buh_cobertura_buffer",INDIRECT("v_buffer_hist_hoy!$1:$1"),0)-1,100000,1),MATCH(CLEAN(TABLATRANSFERENCIA[[#This Row],[CODIGO]]),OFFSET(INDIRECT("v_buffer_hist_hoy!$A$1"),1,MATCH("buh_codigo",INDIRECT("v_buffer_hist_hoy!$1:$1"),0)-1,100000,1),0)),"")</f>
        <v>0</v>
      </c>
      <c r="AR15" s="6">
        <f ca="1">IFERROR(INDEX(OFFSET(INDIRECT("v_buffer_hist_hoy!$A$1"),1,MATCH("buh_cobertura_inventario_proyectado",INDIRECT("v_buffer_hist_hoy!$1:$1"),0)-1,100000,1),MATCH(CLEAN(TABLATRANSFERENCIA[[#This Row],[CODIGO]]),OFFSET(INDIRECT("v_buffer_hist_hoy!$A$1"),1,MATCH("buh_codigo",INDIRECT("v_buffer_hist_hoy!$1:$1"),0)-1,100000,1),0)),"")</f>
        <v>0</v>
      </c>
      <c r="AS15" s="6">
        <f ca="1">IFERROR(INDEX(OFFSET(INDIRECT("v_buffer_hist_hoy!$A$1"),1,MATCH("buh_cobertura_pedido_minimo",INDIRECT("v_buffer_hist_hoy!$1:$1"),0)-1,100000,1),MATCH(CLEAN(TABLATRANSFERENCIA[[#This Row],[CODIGO]]),OFFSET(INDIRECT("v_buffer_hist_hoy!$A$1"),1,MATCH("buh_codigo",INDIRECT("v_buffer_hist_hoy!$1:$1"),0)-1,100000,1),0)),"")</f>
        <v>0</v>
      </c>
      <c r="AT15" s="6">
        <f ca="1">IFERROR(INDEX(OFFSET(INDIRECT("v_buffer_hist_hoy!$A$1"),1,MATCH("buh_dias_desabastecimiento",INDIRECT("v_buffer_hist_hoy!$1:$1"),0)-1,100000,1),MATCH(CLEAN(TABLATRANSFERENCIA[[#This Row],[CODIGO]]),OFFSET(INDIRECT("v_buffer_hist_hoy!$A$1"),1,MATCH("buh_codigo",INDIRECT("v_buffer_hist_hoy!$1:$1"),0)-1,100000,1),0)),"")</f>
        <v>25</v>
      </c>
      <c r="AU15" s="6">
        <f t="array" ref="AU15">IFERROR(INDEX(Datos_Consumo[CANTIDAD],MATCH(TABLATRANSFERENCIA[[#This Row],[CODIGO]]&amp;TABLATRANSFERENCIA[[#Headers],[Columna1]],Datos_Consumo[CODIGO]&amp;Datos_Consumo[FECHA_FORMATO],0)),0)</f>
        <v>0</v>
      </c>
      <c r="AV15" s="6">
        <f t="array" ref="AV15">IFERROR(INDEX(Datos_Consumo[CANTIDAD],MATCH(TABLATRANSFERENCIA[[#This Row],[CODIGO]]&amp;TABLATRANSFERENCIA[[#Headers],[Columna2]],Datos_Consumo[CODIGO]&amp;Datos_Consumo[FECHA_FORMATO],0)),0)</f>
        <v>0</v>
      </c>
      <c r="AW15" s="6">
        <f t="array" ref="AW15">IFERROR(INDEX(Datos_Consumo[CANTIDAD],MATCH(TABLATRANSFERENCIA[[#This Row],[CODIGO]]&amp;TABLATRANSFERENCIA[[#Headers],[Columna3]],Datos_Consumo[CODIGO]&amp;Datos_Consumo[FECHA_FORMATO],0)),0)</f>
        <v>0</v>
      </c>
      <c r="AX15" s="6">
        <f t="array" ref="AX15">IFERROR(INDEX(Datos_Consumo[CANTIDAD],MATCH(TABLATRANSFERENCIA[[#This Row],[CODIGO]]&amp;TABLATRANSFERENCIA[[#Headers],[Columna4]],Datos_Consumo[CODIGO]&amp;Datos_Consumo[FECHA_FORMATO],0)),0)</f>
        <v>0</v>
      </c>
      <c r="AY15" s="6">
        <f t="array" ref="AY15">IFERROR(INDEX(Datos_Consumo[CANTIDAD],MATCH(TABLATRANSFERENCIA[[#This Row],[CODIGO]]&amp;TABLATRANSFERENCIA[[#Headers],[Columna5]],Datos_Consumo[CODIGO]&amp;Datos_Consumo[FECHA_FORMATO],0)),0)</f>
        <v>0</v>
      </c>
      <c r="AZ15" s="6">
        <f t="array" ref="AZ15">IFERROR(INDEX(Datos_Consumo[CANTIDAD],MATCH(TABLATRANSFERENCIA[[#This Row],[CODIGO]]&amp;TABLATRANSFERENCIA[[#Headers],[Columna6]],Datos_Consumo[CODIGO]&amp;Datos_Consumo[FECHA_FORMATO],0)),0)</f>
        <v>0</v>
      </c>
      <c r="BA15" s="54">
        <f ca="1">IFERROR(INDEX(OFFSET(INDIRECT("v_buffer_hist_hoy!$A$1"),1,MATCH("buh_ultima_transferencia_ini",INDIRECT("v_buffer_hist_hoy!$1:$1"),0)-1,100000,1),MATCH(CLEAN(TABLATRANSFERENCIA[[#This Row],[CODIGO]]),OFFSET(INDIRECT("v_buffer_hist_hoy!$A$1"),1,MATCH("buh_codigo",INDIRECT("v_buffer_hist_hoy!$1:$1"),0)-1,100000,1),0)),"")</f>
        <v>0</v>
      </c>
      <c r="BB15" s="54">
        <f ca="1">IFERROR(INDEX(OFFSET(INDIRECT("v_buffer_hist_hoy!$A$1"),1,MATCH("buh_ultima_transferencia_fin",INDIRECT("v_buffer_hist_hoy!$1:$1"),0)-1,100000,1),MATCH(CLEAN(TABLATRANSFERENCIA[[#This Row],[CODIGO]]),OFFSET(INDIRECT("v_buffer_hist_hoy!$A$1"),1,MATCH("buh_codigo",INDIRECT("v_buffer_hist_hoy!$1:$1"),0)-1,100000,1),0)),"")</f>
        <v>0</v>
      </c>
      <c r="BC15" s="60">
        <v>5408</v>
      </c>
      <c r="BD15" s="64">
        <v>5408</v>
      </c>
      <c r="BE15" s="51"/>
      <c r="BF15" s="51">
        <f>IF(RIGHT(TABLATRANSFERENCIA[[#Headers],[Emb1]],1)*1&lt;=TABLATRANSFERENCIA[[#This Row],[EMBARQUES]],IF(ISBLANK(TABLATRANSFERENCIA[[#This Row],[EMBARQUES]]),TABLATRANSFERENCIA[[#This Row],[REQUERIM]],ROUND(TABLATRANSFERENCIA[[#This Row],[REQUERIM]]/TABLATRANSFERENCIA[[#This Row],[EMBARQUES]],0)),TABLATRANSFERENCIA[[#This Row],[REQUERIM]])</f>
        <v>5408</v>
      </c>
      <c r="BG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5" s="51"/>
      <c r="BL15" s="46">
        <f ca="1">IFERROR(TABLATRANSFERENCIA[[#This Row],[REQUERIM]]/TABLATRANSFERENCIA[[#This Row],[PEDIDO PROMEDIO]],0)</f>
        <v>1.6264661654135337</v>
      </c>
      <c r="BM15" s="68">
        <v>5408</v>
      </c>
      <c r="BN15" s="58"/>
      <c r="BO15" s="3">
        <f>IF(TABLATRANSFERENCIA[[#This Row],[RECIBIDO]]&lt;&gt;"",0,IF(TABLATRANSFERENCIA[[#This Row],[DESPACHO]]&lt;&gt;"",TABLATRANSFERENCIA[[#This Row],[DESPACHO]],TABLATRANSFERENCIA[[#This Row],[REQUERIM]]))</f>
        <v>5408</v>
      </c>
      <c r="BP15" s="50"/>
      <c r="BQ15" s="50"/>
      <c r="BR15" s="50" t="str">
        <f>"N"</f>
        <v>N</v>
      </c>
      <c r="BS15" s="51">
        <f t="array" aca="1" ref="BS15" ca="1">IF(SUM(--(TABLATRANSFERENCIA[[#This Row],[CODIGO GENERICO]]=TABLATRANSFERENCIA[CODIGO GENERICO])*TABLATRANSFERENCIA[REQUERIM])&lt;TABLATRANSFERENCIA[[#This Row],[PEDIDO MIN GRUPO]],1,0)</f>
        <v>0</v>
      </c>
      <c r="BT1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15" s="51">
        <f ca="1">IFERROR(INDEX(OFFSET(INDIRECT("v_buffer_hist_hoy!$A$1"),1,MATCH("buh_zona_amarilla",INDIRECT("v_buffer_hist_hoy!$1:$1"),0)-1,100000,1),MATCH(CLEAN(TABLATRANSFERENCIA[[#This Row],[CODIGO]]),OFFSET(INDIRECT("v_buffer_hist_hoy!$A$1"),1,MATCH("buh_codigo",INDIRECT("v_buffer_hist_hoy!$1:$1"),0)-1,100000,1),0)),"")</f>
        <v>8845</v>
      </c>
      <c r="BV15" s="51">
        <f ca="1">IFERROR(INDEX(OFFSET(INDIRECT("v_buffer_hist_hoy!$A$1"),1,MATCH("buh_zona_roja",INDIRECT("v_buffer_hist_hoy!$1:$1"),0)-1,100000,1),MATCH(CLEAN(TABLATRANSFERENCIA[[#This Row],[CODIGO]]),OFFSET(INDIRECT("v_buffer_hist_hoy!$A$1"),1,MATCH("buh_codigo",INDIRECT("v_buffer_hist_hoy!$1:$1"),0)-1,100000,1),0)),"")</f>
        <v>4389</v>
      </c>
    </row>
    <row r="16" spans="1:74" x14ac:dyDescent="0.25">
      <c r="A16" s="59" t="s">
        <v>1293</v>
      </c>
      <c r="B16" s="3" t="str">
        <f ca="1">IFERROR(INDEX(OFFSET(INDIRECT("v_buffer_hist_hoy!$A$1"),1,MATCH("pro_descripcion",INDIRECT("v_buffer_hist_hoy!$1:$1"),0)-1,100000,1),MATCH(CLEAN(TABLATRANSFERENCIA[[#This Row],[CODIGO]]),OFFSET(INDIRECT("v_buffer_hist_hoy!$A$1"),1,MATCH("buh_codigo",INDIRECT("v_buffer_hist_hoy!$1:$1"),0)-1,100000,1),0)),"")</f>
        <v>ENVASE CHINO COEX X 250CC</v>
      </c>
      <c r="C16" s="3" t="str">
        <f ca="1">IFERROR(INDEX(OFFSET(INDIRECT("v_buffer_hist_hoy!$A$1"),1,MATCH("buh_codigo_generico",INDIRECT("v_buffer_hist_hoy!$1:$1"),0)-1,100000,1),MATCH(CLEAN(TABLATRANSFERENCIA[[#This Row],[CODIGO]]),OFFSET(INDIRECT("v_buffer_hist_hoy!$A$1"),1,MATCH("buh_codigo",INDIRECT("v_buffer_hist_hoy!$1:$1"),0)-1,100000,1),0)),"")</f>
        <v>0</v>
      </c>
      <c r="D16" s="3" t="str">
        <f ca="1">IFERROR(INDEX(OFFSET(INDIRECT("v_buffer_hist_hoy!$A$1"),1,MATCH("buh_codigo_vinculado",INDIRECT("v_buffer_hist_hoy!$1:$1"),0)-1,100000,1),MATCH(CLEAN(TABLATRANSFERENCIA[[#This Row],[CODIGO]]),OFFSET(INDIRECT("v_buffer_hist_hoy!$A$1"),1,MATCH("buh_codigo",INDIRECT("v_buffer_hist_hoy!$1:$1"),0)-1,100000,1),0)),"")</f>
        <v>MPPRENCOC-250CC</v>
      </c>
      <c r="E16" s="3" t="str">
        <f ca="1">IFERROR(INDEX(OFFSET(INDIRECT("v_buffer_hist_hoy!$A$1"),1,MATCH("pro_linea",INDIRECT("v_buffer_hist_hoy!$1:$1"),0)-1,100000,1),MATCH(CLEAN(TABLATRANSFERENCIA[[#This Row],[CODIGO]]),OFFSET(INDIRECT("v_buffer_hist_hoy!$A$1"),1,MATCH("buh_codigo",INDIRECT("v_buffer_hist_hoy!$1:$1"),0)-1,100000,1),0)),"")</f>
        <v>PRODUCCION</v>
      </c>
      <c r="F16" s="3">
        <f ca="1">IFERROR(INDEX(OFFSET(INDIRECT("v_buffer_hist_hoy!$A$1"),1,MATCH("pro_sublinea",INDIRECT("v_buffer_hist_hoy!$1:$1"),0)-1,100000,1),MATCH(CLEAN(TABLATRANSFERENCIA[[#This Row],[CODIGO]]),OFFSET(INDIRECT("v_buffer_hist_hoy!$A$1"),1,MATCH("buh_codigo",INDIRECT("v_buffer_hist_hoy!$1:$1"),0)-1,100000,1),0)),"")</f>
        <v>0</v>
      </c>
      <c r="G16" s="3" t="str">
        <f ca="1">IFERROR(INDEX(OFFSET(INDIRECT("v_buffer_hist_hoy!$A$1"),1,MATCH("pro_grupo",INDIRECT("v_buffer_hist_hoy!$1:$1"),0)-1,100000,1),MATCH(CLEAN(TABLATRANSFERENCIA[[#This Row],[CODIGO]]),OFFSET(INDIRECT("v_buffer_hist_hoy!$A$1"),1,MATCH("buh_codigo",INDIRECT("v_buffer_hist_hoy!$1:$1"),0)-1,100000,1),0)),"")</f>
        <v>ENVASES</v>
      </c>
      <c r="H16" s="3">
        <f ca="1">IFERROR(INDEX(OFFSET(INDIRECT("v_buffer_hist_hoy!$A$1"),1,MATCH("pro_familia",INDIRECT("v_buffer_hist_hoy!$1:$1"),0)-1,100000,1),MATCH(CLEAN(TABLATRANSFERENCIA[[#This Row],[CODIGO]]),OFFSET(INDIRECT("v_buffer_hist_hoy!$A$1"),1,MATCH("buh_codigo",INDIRECT("v_buffer_hist_hoy!$1:$1"),0)-1,100000,1),0)),"")</f>
        <v>0</v>
      </c>
      <c r="I16" s="3">
        <f ca="1">IFERROR(INDEX(OFFSET(INDIRECT("v_buffer_hist_hoy!$A$1"),1,MATCH("pro_subfamilia",INDIRECT("v_buffer_hist_hoy!$1:$1"),0)-1,100000,1),MATCH(CLEAN(TABLATRANSFERENCIA[[#This Row],[CODIGO]]),OFFSET(INDIRECT("v_buffer_hist_hoy!$A$1"),1,MATCH("buh_codigo",INDIRECT("v_buffer_hist_hoy!$1:$1"),0)-1,100000,1),0)),"")</f>
        <v>0</v>
      </c>
      <c r="J16" s="3" t="str">
        <f ca="1">IFERROR(INDEX(OFFSET(INDIRECT("v_buffer_hist_hoy!$A$1"),1,MATCH("pro_categoria",INDIRECT("v_buffer_hist_hoy!$1:$1"),0)-1,100000,1),MATCH(CLEAN(TABLATRANSFERENCIA[[#This Row],[CODIGO]]),OFFSET(INDIRECT("v_buffer_hist_hoy!$A$1"),1,MATCH("buh_codigo",INDIRECT("v_buffer_hist_hoy!$1:$1"),0)-1,100000,1),0)),"")</f>
        <v xml:space="preserve">ENVASES </v>
      </c>
      <c r="K16" s="3">
        <f ca="1">IFERROR(INDEX(OFFSET(INDIRECT("v_buffer_hist_hoy!$A$1"),1,MATCH("pro_tipo",INDIRECT("v_buffer_hist_hoy!$1:$1"),0)-1,100000,1),MATCH(CLEAN(TABLATRANSFERENCIA[[#This Row],[CODIGO]]),OFFSET(INDIRECT("v_buffer_hist_hoy!$A$1"),1,MATCH("buh_codigo",INDIRECT("v_buffer_hist_hoy!$1:$1"),0)-1,100000,1),0)),"")</f>
        <v>0</v>
      </c>
      <c r="L16" s="3" t="str">
        <f ca="1">IFERROR(INDEX(OFFSET(INDIRECT("v_buffer_hist_hoy!$A$1"),1,MATCH("pro_marca",INDIRECT("v_buffer_hist_hoy!$1:$1"),0)-1,100000,1),MATCH(CLEAN(TABLATRANSFERENCIA[[#This Row],[CODIGO]]),OFFSET(INDIRECT("v_buffer_hist_hoy!$A$1"),1,MATCH("buh_codigo",INDIRECT("v_buffer_hist_hoy!$1:$1"),0)-1,100000,1),0)),"")</f>
        <v>SINOCHEM</v>
      </c>
      <c r="M16" s="3">
        <f ca="1">IFERROR(INDEX(OFFSET(INDIRECT("v_buffer_hist_hoy!$A$1"),1,MATCH("pro_modelo",INDIRECT("v_buffer_hist_hoy!$1:$1"),0)-1,100000,1),MATCH(CLEAN(TABLATRANSFERENCIA[[#This Row],[CODIGO]]),OFFSET(INDIRECT("v_buffer_hist_hoy!$A$1"),1,MATCH("buh_codigo",INDIRECT("v_buffer_hist_hoy!$1:$1"),0)-1,100000,1),0)),"")</f>
        <v>0</v>
      </c>
      <c r="N16" s="3">
        <f ca="1">IFERROR(INDEX(OFFSET(INDIRECT("v_buffer_hist_hoy!$A$1"),1,MATCH("pro_cat_management",INDIRECT("v_buffer_hist_hoy!$1:$1"),0)-1,100000,1),MATCH(CLEAN(TABLATRANSFERENCIA[[#This Row],[CODIGO]]),OFFSET(INDIRECT("v_buffer_hist_hoy!$A$1"),1,MATCH("buh_codigo",INDIRECT("v_buffer_hist_hoy!$1:$1"),0)-1,100000,1),0)),"")</f>
        <v>0</v>
      </c>
      <c r="O16" s="5" t="str">
        <f ca="1">IFERROR(INDEX(OFFSET(INDIRECT("v_buffer_hist_hoy!$A$1"),1,MATCH("buh_estatus",INDIRECT("v_buffer_hist_hoy!$1:$1"),0)-1,100000,1),MATCH(CLEAN(TABLATRANSFERENCIA[[#This Row],[CODIGO]]),OFFSET(INDIRECT("v_buffer_hist_hoy!$A$1"),1,MATCH("buh_codigo",INDIRECT("v_buffer_hist_hoy!$1:$1"),0)-1,100000,1),0)),"")</f>
        <v>0</v>
      </c>
      <c r="P16" s="5">
        <f ca="1">IFERROR(INDEX(OFFSET(INDIRECT("v_buffer_hist_hoy!$A$1"),1,MATCH("buh_ctv",INDIRECT("v_buffer_hist_hoy!$1:$1"),0)-1,100000,1),MATCH(CLEAN(TABLATRANSFERENCIA[[#This Row],[CODIGO]]),OFFSET(INDIRECT("v_buffer_hist_hoy!$A$1"),1,MATCH("buh_codigo",INDIRECT("v_buffer_hist_hoy!$1:$1"),0)-1,100000,1),0)),"")</f>
        <v>0.36</v>
      </c>
      <c r="Q16" s="5">
        <f ca="1">IFERROR(INDEX(OFFSET(INDIRECT("v_buffer_hist_hoy!$A$1"),1,MATCH("buh_pv",INDIRECT("v_buffer_hist_hoy!$1:$1"),0)-1,100000,1),MATCH(CLEAN(TABLATRANSFERENCIA[[#This Row],[CODIGO]]),OFFSET(INDIRECT("v_buffer_hist_hoy!$A$1"),1,MATCH("buh_codigo",INDIRECT("v_buffer_hist_hoy!$1:$1"),0)-1,100000,1),0)),"")</f>
        <v>0</v>
      </c>
      <c r="R16" s="46">
        <f ca="1">IFERROR(INDEX(OFFSET(INDIRECT("v_buffer_hist_hoy!$A$1"),1,MATCH("buh_roi_pasado",INDIRECT("v_buffer_hist_hoy!$1:$1"),0)-1,100000,1),MATCH(CLEAN(TABLATRANSFERENCIA[[#This Row],[CODIGO]]),OFFSET(INDIRECT("v_buffer_hist_hoy!$A$1"),1,MATCH("buh_codigo",INDIRECT("v_buffer_hist_hoy!$1:$1"),0)-1,100000,1),0)),"")</f>
        <v>0</v>
      </c>
      <c r="S16" s="46">
        <f ca="1">IFERROR(INDEX(OFFSET(INDIRECT("v_buffer_hist_hoy!$A$1"),1,MATCH("buh_roi_proyectado",INDIRECT("v_buffer_hist_hoy!$1:$1"),0)-1,100000,1),MATCH(CLEAN(TABLATRANSFERENCIA[[#This Row],[CODIGO]]),OFFSET(INDIRECT("v_buffer_hist_hoy!$A$1"),1,MATCH("buh_codigo",INDIRECT("v_buffer_hist_hoy!$1:$1"),0)-1,100000,1),0)),"")</f>
        <v>-3</v>
      </c>
      <c r="T16" s="46">
        <f ca="1">IFERROR(INDEX(OFFSET(INDIRECT("v_buffer_hist_hoy!$A$1"),1,MATCH("buh_velocity",INDIRECT("v_buffer_hist_hoy!$1:$1"),0)-1,100000,1),MATCH(CLEAN(TABLATRANSFERENCIA[[#This Row],[CODIGO]]),OFFSET(INDIRECT("v_buffer_hist_hoy!$A$1"),1,MATCH("buh_codigo",INDIRECT("v_buffer_hist_hoy!$1:$1"),0)-1,100000,1),0)),"")</f>
        <v>0</v>
      </c>
      <c r="U16" s="46">
        <f ca="1">IFERROR(INDEX(OFFSET(INDIRECT("v_buffer_hist_hoy!$A$1"),1,MATCH("buh_nivel_servicio",INDIRECT("v_buffer_hist_hoy!$1:$1"),0)-1,100000,1),MATCH(CLEAN(TABLATRANSFERENCIA[[#This Row],[CODIGO]]),OFFSET(INDIRECT("v_buffer_hist_hoy!$A$1"),1,MATCH("buh_codigo",INDIRECT("v_buffer_hist_hoy!$1:$1"),0)-1,100000,1),0)),"")</f>
        <v>1</v>
      </c>
      <c r="V16" s="49" t="str">
        <f ca="1">IFERROR(INDEX(OFFSET(INDIRECT("v_buffer_hist_hoy!$A$1"),1,MATCH("pro_nombre",INDIRECT("v_buffer_hist_hoy!$1:$1"),0)-1,100000,1),MATCH(CLEAN(TABLATRANSFERENCIA[[#This Row],[CODIGO]]),OFFSET(INDIRECT("v_buffer_hist_hoy!$A$1"),1,MATCH("buh_codigo",INDIRECT("v_buffer_hist_hoy!$1:$1"),0)-1,100000,1),0)),"")</f>
        <v>Sinochem</v>
      </c>
      <c r="W16" s="49" t="str">
        <f ca="1">IFERROR(INDEX(OFFSET(INDIRECT("v_buffer_hist_hoy!$A$1"),1,MATCH("pre_nombre",INDIRECT("v_buffer_hist_hoy!$1:$1"),0)-1,100000,1),MATCH(CLEAN(TABLATRANSFERENCIA[[#This Row],[CODIGO]]),OFFSET(INDIRECT("v_buffer_hist_hoy!$A$1"),1,MATCH("buh_codigo",INDIRECT("v_buffer_hist_hoy!$1:$1"),0)-1,100000,1),0)),"")</f>
        <v>CHINA</v>
      </c>
      <c r="X16" s="51">
        <f ca="1">IFERROR(INDEX(OFFSET(INDIRECT("v_buffer_hist_hoy!$A$1"),1,MATCH("buh_tiempo_suministro",INDIRECT("v_buffer_hist_hoy!$1:$1"),0)-1,100000,1),MATCH(CLEAN(TABLATRANSFERENCIA[[#This Row],[CODIGO]]),OFFSET(INDIRECT("v_buffer_hist_hoy!$A$1"),1,MATCH("buh_codigo",INDIRECT("v_buffer_hist_hoy!$1:$1"),0)-1,100000,1),0)),"")</f>
        <v>12</v>
      </c>
      <c r="Y16" s="51">
        <f ca="1">IFERROR(INDEX(OFFSET(INDIRECT("v_buffer_hist_hoy!$A$1"),1,MATCH("buh_frecuencia_reposicion",INDIRECT("v_buffer_hist_hoy!$1:$1"),0)-1,100000,1),MATCH(CLEAN(TABLATRANSFERENCIA[[#This Row],[CODIGO]]),OFFSET(INDIRECT("v_buffer_hist_hoy!$A$1"),1,MATCH("buh_codigo",INDIRECT("v_buffer_hist_hoy!$1:$1"),0)-1,100000,1),0)),"")</f>
        <v>4</v>
      </c>
      <c r="Z16" s="6">
        <f ca="1">IFERROR(INDEX(OFFSET(INDIRECT("v_buffer_hist_hoy!$A$1"),1,MATCH("buh_buffer_actual",INDIRECT("v_buffer_hist_hoy!$1:$1"),0)-1,100000,1),MATCH(CLEAN(TABLATRANSFERENCIA[[#This Row],[CODIGO]]),OFFSET(INDIRECT("v_buffer_hist_hoy!$A$1"),1,MATCH("buh_codigo",INDIRECT("v_buffer_hist_hoy!$1:$1"),0)-1,100000,1),0)),"")</f>
        <v>15960</v>
      </c>
      <c r="AA16" s="6">
        <f ca="1">IFERROR(INDEX(OFFSET(INDIRECT("v_buffer_hist_hoy!$A$1"),1,MATCH("buh_inventario_fisico",INDIRECT("v_buffer_hist_hoy!$1:$1"),0)-1,100000,1),MATCH(CLEAN(TABLATRANSFERENCIA[[#This Row],[CODIGO]]),OFFSET(INDIRECT("v_buffer_hist_hoy!$A$1"),1,MATCH("buh_codigo",INDIRECT("v_buffer_hist_hoy!$1:$1"),0)-1,100000,1),0)),"")</f>
        <v>6676</v>
      </c>
      <c r="AB16" s="4">
        <f ca="1">IFERROR(INDEX(OFFSET(INDIRECT("v_buffer_hist_hoy!$A$1"),1,MATCH("buh_estado_inventario_fisico",INDIRECT("v_buffer_hist_hoy!$1:$1"),0)-1,100000,1),MATCH(CLEAN(TABLATRANSFERENCIA[[#This Row],[CODIGO]]),OFFSET(INDIRECT("v_buffer_hist_hoy!$A$1"),1,MATCH("buh_codigo",INDIRECT("v_buffer_hist_hoy!$1:$1"),0)-1,100000,1),0)),"")</f>
        <v>0.57999999999999996</v>
      </c>
      <c r="AC16" s="6" t="str">
        <f ca="1">IFERROR(INDEX(OFFSET(INDIRECT("v_buffer_hist_hoy!$A$1"),1,MATCH("buh_color_inventario_fisico",INDIRECT("v_buffer_hist_hoy!$1:$1"),0)-1,100000,1),MATCH(CLEAN(TABLATRANSFERENCIA[[#This Row],[CODIGO]]),OFFSET(INDIRECT("v_buffer_hist_hoy!$A$1"),1,MATCH("buh_codigo",INDIRECT("v_buffer_hist_hoy!$1:$1"),0)-1,100000,1),0)),"")</f>
        <v>A</v>
      </c>
      <c r="AD16" s="6">
        <f ca="1">IFERROR(INDEX(OFFSET(INDIRECT("v_buffer_hist_hoy!$A$1"),1,MATCH("buh_transito",INDIRECT("v_buffer_hist_hoy!$1:$1"),0)-1,100000,1),MATCH(CLEAN(TABLATRANSFERENCIA[[#This Row],[CODIGO]]),OFFSET(INDIRECT("v_buffer_hist_hoy!$A$1"),1,MATCH("buh_codigo",INDIRECT("v_buffer_hist_hoy!$1:$1"),0)-1,100000,1),0)),"")</f>
        <v>0</v>
      </c>
      <c r="AE16" s="6">
        <f ca="1">IFERROR(INDEX(OFFSET(INDIRECT("v_buffer_hist_hoy!$A$1"),1,MATCH("buh_negociacion",INDIRECT("v_buffer_hist_hoy!$1:$1"),0)-1,100000,1),MATCH(CLEAN(TABLATRANSFERENCIA[[#This Row],[CODIGO]]),OFFSET(INDIRECT("v_buffer_hist_hoy!$A$1"),1,MATCH("buh_codigo",INDIRECT("v_buffer_hist_hoy!$1:$1"),0)-1,100000,1),0)),"")</f>
        <v>0</v>
      </c>
      <c r="AF16" s="6">
        <f ca="1">IFERROR(INDEX(OFFSET(INDIRECT("v_buffer_hist_hoy!$A$1"),1,MATCH("buh_produccion",INDIRECT("v_buffer_hist_hoy!$1:$1"),0)-1,100000,1),MATCH(CLEAN(TABLATRANSFERENCIA[[#This Row],[CODIGO]]),OFFSET(INDIRECT("v_buffer_hist_hoy!$A$1"),1,MATCH("buh_codigo",INDIRECT("v_buffer_hist_hoy!$1:$1"),0)-1,100000,1),0)),"")</f>
        <v>0</v>
      </c>
      <c r="AG16" s="6">
        <f ca="1">IFERROR(INDEX(OFFSET(INDIRECT("v_buffer_hist_hoy!$A$1"),1,MATCH("buh_embarcado",INDIRECT("v_buffer_hist_hoy!$1:$1"),0)-1,100000,1),MATCH(CLEAN(TABLATRANSFERENCIA[[#This Row],[CODIGO]]),OFFSET(INDIRECT("v_buffer_hist_hoy!$A$1"),1,MATCH("buh_codigo",INDIRECT("v_buffer_hist_hoy!$1:$1"),0)-1,100000,1),0)),"")</f>
        <v>0</v>
      </c>
      <c r="AH16" s="6">
        <f ca="1">IFERROR(INDEX(OFFSET(INDIRECT("v_buffer_hist_hoy!$A$1"),1,MATCH("buh_comprometido",INDIRECT("v_buffer_hist_hoy!$1:$1"),0)-1,100000,1),MATCH(CLEAN(TABLATRANSFERENCIA[[#This Row],[CODIGO]]),OFFSET(INDIRECT("v_buffer_hist_hoy!$A$1"),1,MATCH("buh_codigo",INDIRECT("v_buffer_hist_hoy!$1:$1"),0)-1,100000,1),0)),"")</f>
        <v>0</v>
      </c>
      <c r="AI16" s="6">
        <f ca="1">IFERROR(INDEX(OFFSET(INDIRECT("v_buffer_hist_hoy!$A$1"),1,MATCH("buh_backorder",INDIRECT("v_buffer_hist_hoy!$1:$1"),0)-1,100000,1),MATCH(CLEAN(TABLATRANSFERENCIA[[#This Row],[CODIGO]]),OFFSET(INDIRECT("v_buffer_hist_hoy!$A$1"),1,MATCH("buh_codigo",INDIRECT("v_buffer_hist_hoy!$1:$1"),0)-1,100000,1),0)),"")</f>
        <v>0</v>
      </c>
      <c r="AJ16" s="6">
        <f ca="1">IFERROR(INDEX(OFFSET(INDIRECT("v_buffer_hist_hoy!$A$1"),1,MATCH("buh_inventario_proyectado",INDIRECT("v_buffer_hist_hoy!$1:$1"),0)-1,100000,1),MATCH(CLEAN(TABLATRANSFERENCIA[[#This Row],[CODIGO]]),OFFSET(INDIRECT("v_buffer_hist_hoy!$A$1"),1,MATCH("buh_codigo",INDIRECT("v_buffer_hist_hoy!$1:$1"),0)-1,100000,1),0)),"")</f>
        <v>6676</v>
      </c>
      <c r="AK16" s="4">
        <f ca="1">IFERROR(INDEX(OFFSET(INDIRECT("v_buffer_hist_hoy!$A$1"),1,MATCH("buh_estado_inventario_proyectado",INDIRECT("v_buffer_hist_hoy!$1:$1"),0)-1,100000,1),MATCH(CLEAN(TABLATRANSFERENCIA[[#This Row],[CODIGO]]),OFFSET(INDIRECT("v_buffer_hist_hoy!$A$1"),1,MATCH("buh_codigo",INDIRECT("v_buffer_hist_hoy!$1:$1"),0)-1,100000,1),0)),"")</f>
        <v>0.57999999999999996</v>
      </c>
      <c r="AL16" s="6" t="str">
        <f ca="1">IFERROR(INDEX(OFFSET(INDIRECT("v_buffer_hist_hoy!$A$1"),1,MATCH("buh_color_inventario_proyectado",INDIRECT("v_buffer_hist_hoy!$1:$1"),0)-1,100000,1),MATCH(CLEAN(TABLATRANSFERENCIA[[#This Row],[CODIGO]]),OFFSET(INDIRECT("v_buffer_hist_hoy!$A$1"),1,MATCH("buh_codigo",INDIRECT("v_buffer_hist_hoy!$1:$1"),0)-1,100000,1),0)),"")</f>
        <v>A</v>
      </c>
      <c r="AM16" s="6">
        <f ca="1">IFERROR(INDEX(OFFSET(INDIRECT("v_buffer_hist_hoy!$A$1"),1,MATCH("buh_pedido_minimo",INDIRECT("v_buffer_hist_hoy!$1:$1"),0)-1,100000,1),MATCH(CLEAN(TABLATRANSFERENCIA[[#This Row],[CODIGO]]),OFFSET(INDIRECT("v_buffer_hist_hoy!$A$1"),1,MATCH("buh_codigo",INDIRECT("v_buffer_hist_hoy!$1:$1"),0)-1,100000,1),0)),"")</f>
        <v>0</v>
      </c>
      <c r="AN16" s="6">
        <f ca="1">IFERROR(INDEX(OFFSET(INDIRECT("v_buffer_hist_hoy!$A$1"),1,MATCH("buh_pedido_minimo_grupo",INDIRECT("v_buffer_hist_hoy!$1:$1"),0)-1,100000,1),MATCH(CLEAN(TABLATRANSFERENCIA[[#This Row],[CODIGO]]),OFFSET(INDIRECT("v_buffer_hist_hoy!$A$1"),1,MATCH("buh_codigo",INDIRECT("v_buffer_hist_hoy!$1:$1"),0)-1,100000,1),0)),"")</f>
        <v>0</v>
      </c>
      <c r="AO16" s="6">
        <f ca="1">IFERROR(INDEX(OFFSET(INDIRECT("v_buffer_hist_hoy!$A$1"),1,MATCH("buh_unidad_empaque",INDIRECT("v_buffer_hist_hoy!$1:$1"),0)-1,100000,1),MATCH(CLEAN(TABLATRANSFERENCIA[[#This Row],[CODIGO]]),OFFSET(INDIRECT("v_buffer_hist_hoy!$A$1"),1,MATCH("buh_codigo",INDIRECT("v_buffer_hist_hoy!$1:$1"),0)-1,100000,1),0)),"")</f>
        <v>0</v>
      </c>
      <c r="AP16" s="6">
        <f ca="1">IFERROR(INDEX(OFFSET(INDIRECT("v_buffer_hist_hoy!$A$1"),1,MATCH("buh_pedido_promedio",INDIRECT("v_buffer_hist_hoy!$1:$1"),0)-1,100000,1),MATCH(CLEAN(TABLATRANSFERENCIA[[#This Row],[CODIGO]]),OFFSET(INDIRECT("v_buffer_hist_hoy!$A$1"),1,MATCH("buh_codigo",INDIRECT("v_buffer_hist_hoy!$1:$1"),0)-1,100000,1),0)),"")</f>
        <v>3990</v>
      </c>
      <c r="AQ16" s="6">
        <f ca="1">IFERROR(INDEX(OFFSET(INDIRECT("v_buffer_hist_hoy!$A$1"),1,MATCH("buh_cobertura_buffer",INDIRECT("v_buffer_hist_hoy!$1:$1"),0)-1,100000,1),MATCH(CLEAN(TABLATRANSFERENCIA[[#This Row],[CODIGO]]),OFFSET(INDIRECT("v_buffer_hist_hoy!$A$1"),1,MATCH("buh_codigo",INDIRECT("v_buffer_hist_hoy!$1:$1"),0)-1,100000,1),0)),"")</f>
        <v>0</v>
      </c>
      <c r="AR16" s="6">
        <f ca="1">IFERROR(INDEX(OFFSET(INDIRECT("v_buffer_hist_hoy!$A$1"),1,MATCH("buh_cobertura_inventario_proyectado",INDIRECT("v_buffer_hist_hoy!$1:$1"),0)-1,100000,1),MATCH(CLEAN(TABLATRANSFERENCIA[[#This Row],[CODIGO]]),OFFSET(INDIRECT("v_buffer_hist_hoy!$A$1"),1,MATCH("buh_codigo",INDIRECT("v_buffer_hist_hoy!$1:$1"),0)-1,100000,1),0)),"")</f>
        <v>0</v>
      </c>
      <c r="AS16" s="6">
        <f ca="1">IFERROR(INDEX(OFFSET(INDIRECT("v_buffer_hist_hoy!$A$1"),1,MATCH("buh_cobertura_pedido_minimo",INDIRECT("v_buffer_hist_hoy!$1:$1"),0)-1,100000,1),MATCH(CLEAN(TABLATRANSFERENCIA[[#This Row],[CODIGO]]),OFFSET(INDIRECT("v_buffer_hist_hoy!$A$1"),1,MATCH("buh_codigo",INDIRECT("v_buffer_hist_hoy!$1:$1"),0)-1,100000,1),0)),"")</f>
        <v>0</v>
      </c>
      <c r="AT16" s="6">
        <f ca="1">IFERROR(INDEX(OFFSET(INDIRECT("v_buffer_hist_hoy!$A$1"),1,MATCH("buh_dias_desabastecimiento",INDIRECT("v_buffer_hist_hoy!$1:$1"),0)-1,100000,1),MATCH(CLEAN(TABLATRANSFERENCIA[[#This Row],[CODIGO]]),OFFSET(INDIRECT("v_buffer_hist_hoy!$A$1"),1,MATCH("buh_codigo",INDIRECT("v_buffer_hist_hoy!$1:$1"),0)-1,100000,1),0)),"")</f>
        <v>2</v>
      </c>
      <c r="AU16" s="6">
        <f t="array" ref="AU16">IFERROR(INDEX(Datos_Consumo[CANTIDAD],MATCH(TABLATRANSFERENCIA[[#This Row],[CODIGO]]&amp;TABLATRANSFERENCIA[[#Headers],[Columna1]],Datos_Consumo[CODIGO]&amp;Datos_Consumo[FECHA_FORMATO],0)),0)</f>
        <v>0</v>
      </c>
      <c r="AV16" s="6">
        <f t="array" ref="AV16">IFERROR(INDEX(Datos_Consumo[CANTIDAD],MATCH(TABLATRANSFERENCIA[[#This Row],[CODIGO]]&amp;TABLATRANSFERENCIA[[#Headers],[Columna2]],Datos_Consumo[CODIGO]&amp;Datos_Consumo[FECHA_FORMATO],0)),0)</f>
        <v>0</v>
      </c>
      <c r="AW16" s="6">
        <f t="array" ref="AW16">IFERROR(INDEX(Datos_Consumo[CANTIDAD],MATCH(TABLATRANSFERENCIA[[#This Row],[CODIGO]]&amp;TABLATRANSFERENCIA[[#Headers],[Columna3]],Datos_Consumo[CODIGO]&amp;Datos_Consumo[FECHA_FORMATO],0)),0)</f>
        <v>0</v>
      </c>
      <c r="AX16" s="6">
        <f t="array" ref="AX16">IFERROR(INDEX(Datos_Consumo[CANTIDAD],MATCH(TABLATRANSFERENCIA[[#This Row],[CODIGO]]&amp;TABLATRANSFERENCIA[[#Headers],[Columna4]],Datos_Consumo[CODIGO]&amp;Datos_Consumo[FECHA_FORMATO],0)),0)</f>
        <v>0</v>
      </c>
      <c r="AY16" s="6">
        <f t="array" ref="AY16">IFERROR(INDEX(Datos_Consumo[CANTIDAD],MATCH(TABLATRANSFERENCIA[[#This Row],[CODIGO]]&amp;TABLATRANSFERENCIA[[#Headers],[Columna5]],Datos_Consumo[CODIGO]&amp;Datos_Consumo[FECHA_FORMATO],0)),0)</f>
        <v>0</v>
      </c>
      <c r="AZ16" s="6">
        <f t="array" ref="AZ16">IFERROR(INDEX(Datos_Consumo[CANTIDAD],MATCH(TABLATRANSFERENCIA[[#This Row],[CODIGO]]&amp;TABLATRANSFERENCIA[[#Headers],[Columna6]],Datos_Consumo[CODIGO]&amp;Datos_Consumo[FECHA_FORMATO],0)),0)</f>
        <v>0</v>
      </c>
      <c r="BA16" s="54">
        <f ca="1">IFERROR(INDEX(OFFSET(INDIRECT("v_buffer_hist_hoy!$A$1"),1,MATCH("buh_ultima_transferencia_ini",INDIRECT("v_buffer_hist_hoy!$1:$1"),0)-1,100000,1),MATCH(CLEAN(TABLATRANSFERENCIA[[#This Row],[CODIGO]]),OFFSET(INDIRECT("v_buffer_hist_hoy!$A$1"),1,MATCH("buh_codigo",INDIRECT("v_buffer_hist_hoy!$1:$1"),0)-1,100000,1),0)),"")</f>
        <v>0</v>
      </c>
      <c r="BB16" s="54">
        <f ca="1">IFERROR(INDEX(OFFSET(INDIRECT("v_buffer_hist_hoy!$A$1"),1,MATCH("buh_ultima_transferencia_fin",INDIRECT("v_buffer_hist_hoy!$1:$1"),0)-1,100000,1),MATCH(CLEAN(TABLATRANSFERENCIA[[#This Row],[CODIGO]]),OFFSET(INDIRECT("v_buffer_hist_hoy!$A$1"),1,MATCH("buh_codigo",INDIRECT("v_buffer_hist_hoy!$1:$1"),0)-1,100000,1),0)),"")</f>
        <v>0</v>
      </c>
      <c r="BC16" s="60">
        <v>5152</v>
      </c>
      <c r="BD16" s="64">
        <v>5152</v>
      </c>
      <c r="BE16" s="51"/>
      <c r="BF16" s="51">
        <f>IF(RIGHT(TABLATRANSFERENCIA[[#Headers],[Emb1]],1)*1&lt;=TABLATRANSFERENCIA[[#This Row],[EMBARQUES]],IF(ISBLANK(TABLATRANSFERENCIA[[#This Row],[EMBARQUES]]),TABLATRANSFERENCIA[[#This Row],[REQUERIM]],ROUND(TABLATRANSFERENCIA[[#This Row],[REQUERIM]]/TABLATRANSFERENCIA[[#This Row],[EMBARQUES]],0)),TABLATRANSFERENCIA[[#This Row],[REQUERIM]])</f>
        <v>5152</v>
      </c>
      <c r="BG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6" s="51"/>
      <c r="BL16" s="46">
        <f ca="1">IFERROR(TABLATRANSFERENCIA[[#This Row],[REQUERIM]]/TABLATRANSFERENCIA[[#This Row],[PEDIDO PROMEDIO]],0)</f>
        <v>1.2912280701754386</v>
      </c>
      <c r="BM16" s="68">
        <v>5152</v>
      </c>
      <c r="BN16" s="58"/>
      <c r="BO16" s="3">
        <f>IF(TABLATRANSFERENCIA[[#This Row],[RECIBIDO]]&lt;&gt;"",0,IF(TABLATRANSFERENCIA[[#This Row],[DESPACHO]]&lt;&gt;"",TABLATRANSFERENCIA[[#This Row],[DESPACHO]],TABLATRANSFERENCIA[[#This Row],[REQUERIM]]))</f>
        <v>5152</v>
      </c>
      <c r="BP16" s="50"/>
      <c r="BQ16" s="50"/>
      <c r="BR16" s="50" t="str">
        <f>"N"</f>
        <v>N</v>
      </c>
      <c r="BS16" s="51">
        <f t="array" aca="1" ref="BS16" ca="1">IF(SUM(--(TABLATRANSFERENCIA[[#This Row],[CODIGO GENERICO]]=TABLATRANSFERENCIA[CODIGO GENERICO])*TABLATRANSFERENCIA[REQUERIM])&lt;TABLATRANSFERENCIA[[#This Row],[PEDIDO MIN GRUPO]],1,0)</f>
        <v>0</v>
      </c>
      <c r="BT1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16" s="51">
        <f ca="1">IFERROR(INDEX(OFFSET(INDIRECT("v_buffer_hist_hoy!$A$1"),1,MATCH("buh_zona_amarilla",INDIRECT("v_buffer_hist_hoy!$1:$1"),0)-1,100000,1),MATCH(CLEAN(TABLATRANSFERENCIA[[#This Row],[CODIGO]]),OFFSET(INDIRECT("v_buffer_hist_hoy!$A$1"),1,MATCH("buh_codigo",INDIRECT("v_buffer_hist_hoy!$1:$1"),0)-1,100000,1),0)),"")</f>
        <v>10613</v>
      </c>
      <c r="BV16" s="51">
        <f ca="1">IFERROR(INDEX(OFFSET(INDIRECT("v_buffer_hist_hoy!$A$1"),1,MATCH("buh_zona_roja",INDIRECT("v_buffer_hist_hoy!$1:$1"),0)-1,100000,1),MATCH(CLEAN(TABLATRANSFERENCIA[[#This Row],[CODIGO]]),OFFSET(INDIRECT("v_buffer_hist_hoy!$A$1"),1,MATCH("buh_codigo",INDIRECT("v_buffer_hist_hoy!$1:$1"),0)-1,100000,1),0)),"")</f>
        <v>5267</v>
      </c>
    </row>
    <row r="17" spans="1:74" x14ac:dyDescent="0.25">
      <c r="A17" s="59" t="s">
        <v>1295</v>
      </c>
      <c r="B17" s="3" t="str">
        <f ca="1">IFERROR(INDEX(OFFSET(INDIRECT("v_buffer_hist_hoy!$A$1"),1,MATCH("pro_descripcion",INDIRECT("v_buffer_hist_hoy!$1:$1"),0)-1,100000,1),MATCH(CLEAN(TABLATRANSFERENCIA[[#This Row],[CODIGO]]),OFFSET(INDIRECT("v_buffer_hist_hoy!$A$1"),1,MATCH("buh_codigo",INDIRECT("v_buffer_hist_hoy!$1:$1"),0)-1,100000,1),0)),"")</f>
        <v xml:space="preserve"> FUNDA IMPRESA PROFESIONAL PRODUCCION X KIL </v>
      </c>
      <c r="C17" s="3" t="str">
        <f ca="1">IFERROR(INDEX(OFFSET(INDIRECT("v_buffer_hist_hoy!$A$1"),1,MATCH("buh_codigo_generico",INDIRECT("v_buffer_hist_hoy!$1:$1"),0)-1,100000,1),MATCH(CLEAN(TABLATRANSFERENCIA[[#This Row],[CODIGO]]),OFFSET(INDIRECT("v_buffer_hist_hoy!$A$1"),1,MATCH("buh_codigo",INDIRECT("v_buffer_hist_hoy!$1:$1"),0)-1,100000,1),0)),"")</f>
        <v>0</v>
      </c>
      <c r="D17" s="3" t="str">
        <f ca="1">IFERROR(INDEX(OFFSET(INDIRECT("v_buffer_hist_hoy!$A$1"),1,MATCH("buh_codigo_vinculado",INDIRECT("v_buffer_hist_hoy!$1:$1"),0)-1,100000,1),MATCH(CLEAN(TABLATRANSFERENCIA[[#This Row],[CODIGO]]),OFFSET(INDIRECT("v_buffer_hist_hoy!$A$1"),1,MATCH("buh_codigo",INDIRECT("v_buffer_hist_hoy!$1:$1"),0)-1,100000,1),0)),"")</f>
        <v>MPPRFIPRO-KIL</v>
      </c>
      <c r="E17" s="3" t="str">
        <f ca="1">IFERROR(INDEX(OFFSET(INDIRECT("v_buffer_hist_hoy!$A$1"),1,MATCH("pro_linea",INDIRECT("v_buffer_hist_hoy!$1:$1"),0)-1,100000,1),MATCH(CLEAN(TABLATRANSFERENCIA[[#This Row],[CODIGO]]),OFFSET(INDIRECT("v_buffer_hist_hoy!$A$1"),1,MATCH("buh_codigo",INDIRECT("v_buffer_hist_hoy!$1:$1"),0)-1,100000,1),0)),"")</f>
        <v>PRODUCCION</v>
      </c>
      <c r="F17" s="3">
        <f ca="1">IFERROR(INDEX(OFFSET(INDIRECT("v_buffer_hist_hoy!$A$1"),1,MATCH("pro_sublinea",INDIRECT("v_buffer_hist_hoy!$1:$1"),0)-1,100000,1),MATCH(CLEAN(TABLATRANSFERENCIA[[#This Row],[CODIGO]]),OFFSET(INDIRECT("v_buffer_hist_hoy!$A$1"),1,MATCH("buh_codigo",INDIRECT("v_buffer_hist_hoy!$1:$1"),0)-1,100000,1),0)),"")</f>
        <v>0</v>
      </c>
      <c r="G17" s="3" t="str">
        <f ca="1">IFERROR(INDEX(OFFSET(INDIRECT("v_buffer_hist_hoy!$A$1"),1,MATCH("pro_grupo",INDIRECT("v_buffer_hist_hoy!$1:$1"),0)-1,100000,1),MATCH(CLEAN(TABLATRANSFERENCIA[[#This Row],[CODIGO]]),OFFSET(INDIRECT("v_buffer_hist_hoy!$A$1"),1,MATCH("buh_codigo",INDIRECT("v_buffer_hist_hoy!$1:$1"),0)-1,100000,1),0)),"")</f>
        <v>FUNDAS</v>
      </c>
      <c r="H17" s="3">
        <f ca="1">IFERROR(INDEX(OFFSET(INDIRECT("v_buffer_hist_hoy!$A$1"),1,MATCH("pro_familia",INDIRECT("v_buffer_hist_hoy!$1:$1"),0)-1,100000,1),MATCH(CLEAN(TABLATRANSFERENCIA[[#This Row],[CODIGO]]),OFFSET(INDIRECT("v_buffer_hist_hoy!$A$1"),1,MATCH("buh_codigo",INDIRECT("v_buffer_hist_hoy!$1:$1"),0)-1,100000,1),0)),"")</f>
        <v>0</v>
      </c>
      <c r="I17" s="3">
        <f ca="1">IFERROR(INDEX(OFFSET(INDIRECT("v_buffer_hist_hoy!$A$1"),1,MATCH("pro_subfamilia",INDIRECT("v_buffer_hist_hoy!$1:$1"),0)-1,100000,1),MATCH(CLEAN(TABLATRANSFERENCIA[[#This Row],[CODIGO]]),OFFSET(INDIRECT("v_buffer_hist_hoy!$A$1"),1,MATCH("buh_codigo",INDIRECT("v_buffer_hist_hoy!$1:$1"),0)-1,100000,1),0)),"")</f>
        <v>0</v>
      </c>
      <c r="J17" s="3" t="str">
        <f ca="1">IFERROR(INDEX(OFFSET(INDIRECT("v_buffer_hist_hoy!$A$1"),1,MATCH("pro_categoria",INDIRECT("v_buffer_hist_hoy!$1:$1"),0)-1,100000,1),MATCH(CLEAN(TABLATRANSFERENCIA[[#This Row],[CODIGO]]),OFFSET(INDIRECT("v_buffer_hist_hoy!$A$1"),1,MATCH("buh_codigo",INDIRECT("v_buffer_hist_hoy!$1:$1"),0)-1,100000,1),0)),"")</f>
        <v>FUNDAS PREIMPRESAS</v>
      </c>
      <c r="K17" s="3">
        <f ca="1">IFERROR(INDEX(OFFSET(INDIRECT("v_buffer_hist_hoy!$A$1"),1,MATCH("pro_tipo",INDIRECT("v_buffer_hist_hoy!$1:$1"),0)-1,100000,1),MATCH(CLEAN(TABLATRANSFERENCIA[[#This Row],[CODIGO]]),OFFSET(INDIRECT("v_buffer_hist_hoy!$A$1"),1,MATCH("buh_codigo",INDIRECT("v_buffer_hist_hoy!$1:$1"),0)-1,100000,1),0)),"")</f>
        <v>0</v>
      </c>
      <c r="L17" s="3" t="str">
        <f ca="1">IFERROR(INDEX(OFFSET(INDIRECT("v_buffer_hist_hoy!$A$1"),1,MATCH("pro_marca",INDIRECT("v_buffer_hist_hoy!$1:$1"),0)-1,100000,1),MATCH(CLEAN(TABLATRANSFERENCIA[[#This Row],[CODIGO]]),OFFSET(INDIRECT("v_buffer_hist_hoy!$A$1"),1,MATCH("buh_codigo",INDIRECT("v_buffer_hist_hoy!$1:$1"),0)-1,100000,1),0)),"")</f>
        <v>SINOCHEM</v>
      </c>
      <c r="M17" s="3">
        <f ca="1">IFERROR(INDEX(OFFSET(INDIRECT("v_buffer_hist_hoy!$A$1"),1,MATCH("pro_modelo",INDIRECT("v_buffer_hist_hoy!$1:$1"),0)-1,100000,1),MATCH(CLEAN(TABLATRANSFERENCIA[[#This Row],[CODIGO]]),OFFSET(INDIRECT("v_buffer_hist_hoy!$A$1"),1,MATCH("buh_codigo",INDIRECT("v_buffer_hist_hoy!$1:$1"),0)-1,100000,1),0)),"")</f>
        <v>0</v>
      </c>
      <c r="N17" s="3">
        <f ca="1">IFERROR(INDEX(OFFSET(INDIRECT("v_buffer_hist_hoy!$A$1"),1,MATCH("pro_cat_management",INDIRECT("v_buffer_hist_hoy!$1:$1"),0)-1,100000,1),MATCH(CLEAN(TABLATRANSFERENCIA[[#This Row],[CODIGO]]),OFFSET(INDIRECT("v_buffer_hist_hoy!$A$1"),1,MATCH("buh_codigo",INDIRECT("v_buffer_hist_hoy!$1:$1"),0)-1,100000,1),0)),"")</f>
        <v>0</v>
      </c>
      <c r="O17" s="5" t="str">
        <f ca="1">IFERROR(INDEX(OFFSET(INDIRECT("v_buffer_hist_hoy!$A$1"),1,MATCH("buh_estatus",INDIRECT("v_buffer_hist_hoy!$1:$1"),0)-1,100000,1),MATCH(CLEAN(TABLATRANSFERENCIA[[#This Row],[CODIGO]]),OFFSET(INDIRECT("v_buffer_hist_hoy!$A$1"),1,MATCH("buh_codigo",INDIRECT("v_buffer_hist_hoy!$1:$1"),0)-1,100000,1),0)),"")</f>
        <v>0</v>
      </c>
      <c r="P17" s="5">
        <f ca="1">IFERROR(INDEX(OFFSET(INDIRECT("v_buffer_hist_hoy!$A$1"),1,MATCH("buh_ctv",INDIRECT("v_buffer_hist_hoy!$1:$1"),0)-1,100000,1),MATCH(CLEAN(TABLATRANSFERENCIA[[#This Row],[CODIGO]]),OFFSET(INDIRECT("v_buffer_hist_hoy!$A$1"),1,MATCH("buh_codigo",INDIRECT("v_buffer_hist_hoy!$1:$1"),0)-1,100000,1),0)),"")</f>
        <v>0.53</v>
      </c>
      <c r="Q17" s="5">
        <f ca="1">IFERROR(INDEX(OFFSET(INDIRECT("v_buffer_hist_hoy!$A$1"),1,MATCH("buh_pv",INDIRECT("v_buffer_hist_hoy!$1:$1"),0)-1,100000,1),MATCH(CLEAN(TABLATRANSFERENCIA[[#This Row],[CODIGO]]),OFFSET(INDIRECT("v_buffer_hist_hoy!$A$1"),1,MATCH("buh_codigo",INDIRECT("v_buffer_hist_hoy!$1:$1"),0)-1,100000,1),0)),"")</f>
        <v>0</v>
      </c>
      <c r="R17" s="46">
        <f ca="1">IFERROR(INDEX(OFFSET(INDIRECT("v_buffer_hist_hoy!$A$1"),1,MATCH("buh_roi_pasado",INDIRECT("v_buffer_hist_hoy!$1:$1"),0)-1,100000,1),MATCH(CLEAN(TABLATRANSFERENCIA[[#This Row],[CODIGO]]),OFFSET(INDIRECT("v_buffer_hist_hoy!$A$1"),1,MATCH("buh_codigo",INDIRECT("v_buffer_hist_hoy!$1:$1"),0)-1,100000,1),0)),"")</f>
        <v>0</v>
      </c>
      <c r="S17" s="46">
        <f ca="1">IFERROR(INDEX(OFFSET(INDIRECT("v_buffer_hist_hoy!$A$1"),1,MATCH("buh_roi_proyectado",INDIRECT("v_buffer_hist_hoy!$1:$1"),0)-1,100000,1),MATCH(CLEAN(TABLATRANSFERENCIA[[#This Row],[CODIGO]]),OFFSET(INDIRECT("v_buffer_hist_hoy!$A$1"),1,MATCH("buh_codigo",INDIRECT("v_buffer_hist_hoy!$1:$1"),0)-1,100000,1),0)),"")</f>
        <v>-3</v>
      </c>
      <c r="T17" s="46">
        <f ca="1">IFERROR(INDEX(OFFSET(INDIRECT("v_buffer_hist_hoy!$A$1"),1,MATCH("buh_velocity",INDIRECT("v_buffer_hist_hoy!$1:$1"),0)-1,100000,1),MATCH(CLEAN(TABLATRANSFERENCIA[[#This Row],[CODIGO]]),OFFSET(INDIRECT("v_buffer_hist_hoy!$A$1"),1,MATCH("buh_codigo",INDIRECT("v_buffer_hist_hoy!$1:$1"),0)-1,100000,1),0)),"")</f>
        <v>0</v>
      </c>
      <c r="U17" s="46">
        <f ca="1">IFERROR(INDEX(OFFSET(INDIRECT("v_buffer_hist_hoy!$A$1"),1,MATCH("buh_nivel_servicio",INDIRECT("v_buffer_hist_hoy!$1:$1"),0)-1,100000,1),MATCH(CLEAN(TABLATRANSFERENCIA[[#This Row],[CODIGO]]),OFFSET(INDIRECT("v_buffer_hist_hoy!$A$1"),1,MATCH("buh_codigo",INDIRECT("v_buffer_hist_hoy!$1:$1"),0)-1,100000,1),0)),"")</f>
        <v>1</v>
      </c>
      <c r="V17" s="49" t="str">
        <f ca="1">IFERROR(INDEX(OFFSET(INDIRECT("v_buffer_hist_hoy!$A$1"),1,MATCH("pro_nombre",INDIRECT("v_buffer_hist_hoy!$1:$1"),0)-1,100000,1),MATCH(CLEAN(TABLATRANSFERENCIA[[#This Row],[CODIGO]]),OFFSET(INDIRECT("v_buffer_hist_hoy!$A$1"),1,MATCH("buh_codigo",INDIRECT("v_buffer_hist_hoy!$1:$1"),0)-1,100000,1),0)),"")</f>
        <v>Sinochem</v>
      </c>
      <c r="W17" s="49" t="str">
        <f ca="1">IFERROR(INDEX(OFFSET(INDIRECT("v_buffer_hist_hoy!$A$1"),1,MATCH("pre_nombre",INDIRECT("v_buffer_hist_hoy!$1:$1"),0)-1,100000,1),MATCH(CLEAN(TABLATRANSFERENCIA[[#This Row],[CODIGO]]),OFFSET(INDIRECT("v_buffer_hist_hoy!$A$1"),1,MATCH("buh_codigo",INDIRECT("v_buffer_hist_hoy!$1:$1"),0)-1,100000,1),0)),"")</f>
        <v>CHINA</v>
      </c>
      <c r="X17" s="51">
        <f ca="1">IFERROR(INDEX(OFFSET(INDIRECT("v_buffer_hist_hoy!$A$1"),1,MATCH("buh_tiempo_suministro",INDIRECT("v_buffer_hist_hoy!$1:$1"),0)-1,100000,1),MATCH(CLEAN(TABLATRANSFERENCIA[[#This Row],[CODIGO]]),OFFSET(INDIRECT("v_buffer_hist_hoy!$A$1"),1,MATCH("buh_codigo",INDIRECT("v_buffer_hist_hoy!$1:$1"),0)-1,100000,1),0)),"")</f>
        <v>12</v>
      </c>
      <c r="Y17" s="51">
        <f ca="1">IFERROR(INDEX(OFFSET(INDIRECT("v_buffer_hist_hoy!$A$1"),1,MATCH("buh_frecuencia_reposicion",INDIRECT("v_buffer_hist_hoy!$1:$1"),0)-1,100000,1),MATCH(CLEAN(TABLATRANSFERENCIA[[#This Row],[CODIGO]]),OFFSET(INDIRECT("v_buffer_hist_hoy!$A$1"),1,MATCH("buh_codigo",INDIRECT("v_buffer_hist_hoy!$1:$1"),0)-1,100000,1),0)),"")</f>
        <v>4</v>
      </c>
      <c r="Z17" s="6">
        <f ca="1">IFERROR(INDEX(OFFSET(INDIRECT("v_buffer_hist_hoy!$A$1"),1,MATCH("buh_buffer_actual",INDIRECT("v_buffer_hist_hoy!$1:$1"),0)-1,100000,1),MATCH(CLEAN(TABLATRANSFERENCIA[[#This Row],[CODIGO]]),OFFSET(INDIRECT("v_buffer_hist_hoy!$A$1"),1,MATCH("buh_codigo",INDIRECT("v_buffer_hist_hoy!$1:$1"),0)-1,100000,1),0)),"")</f>
        <v>6650</v>
      </c>
      <c r="AA17" s="6">
        <f ca="1">IFERROR(INDEX(OFFSET(INDIRECT("v_buffer_hist_hoy!$A$1"),1,MATCH("buh_inventario_fisico",INDIRECT("v_buffer_hist_hoy!$1:$1"),0)-1,100000,1),MATCH(CLEAN(TABLATRANSFERENCIA[[#This Row],[CODIGO]]),OFFSET(INDIRECT("v_buffer_hist_hoy!$A$1"),1,MATCH("buh_codigo",INDIRECT("v_buffer_hist_hoy!$1:$1"),0)-1,100000,1),0)),"")</f>
        <v>3762</v>
      </c>
      <c r="AB17" s="4">
        <f ca="1">IFERROR(INDEX(OFFSET(INDIRECT("v_buffer_hist_hoy!$A$1"),1,MATCH("buh_estado_inventario_fisico",INDIRECT("v_buffer_hist_hoy!$1:$1"),0)-1,100000,1),MATCH(CLEAN(TABLATRANSFERENCIA[[#This Row],[CODIGO]]),OFFSET(INDIRECT("v_buffer_hist_hoy!$A$1"),1,MATCH("buh_codigo",INDIRECT("v_buffer_hist_hoy!$1:$1"),0)-1,100000,1),0)),"")</f>
        <v>0.43</v>
      </c>
      <c r="AC17" s="6" t="str">
        <f ca="1">IFERROR(INDEX(OFFSET(INDIRECT("v_buffer_hist_hoy!$A$1"),1,MATCH("buh_color_inventario_fisico",INDIRECT("v_buffer_hist_hoy!$1:$1"),0)-1,100000,1),MATCH(CLEAN(TABLATRANSFERENCIA[[#This Row],[CODIGO]]),OFFSET(INDIRECT("v_buffer_hist_hoy!$A$1"),1,MATCH("buh_codigo",INDIRECT("v_buffer_hist_hoy!$1:$1"),0)-1,100000,1),0)),"")</f>
        <v>A</v>
      </c>
      <c r="AD17" s="6">
        <f ca="1">IFERROR(INDEX(OFFSET(INDIRECT("v_buffer_hist_hoy!$A$1"),1,MATCH("buh_transito",INDIRECT("v_buffer_hist_hoy!$1:$1"),0)-1,100000,1),MATCH(CLEAN(TABLATRANSFERENCIA[[#This Row],[CODIGO]]),OFFSET(INDIRECT("v_buffer_hist_hoy!$A$1"),1,MATCH("buh_codigo",INDIRECT("v_buffer_hist_hoy!$1:$1"),0)-1,100000,1),0)),"")</f>
        <v>0</v>
      </c>
      <c r="AE17" s="6">
        <f ca="1">IFERROR(INDEX(OFFSET(INDIRECT("v_buffer_hist_hoy!$A$1"),1,MATCH("buh_negociacion",INDIRECT("v_buffer_hist_hoy!$1:$1"),0)-1,100000,1),MATCH(CLEAN(TABLATRANSFERENCIA[[#This Row],[CODIGO]]),OFFSET(INDIRECT("v_buffer_hist_hoy!$A$1"),1,MATCH("buh_codigo",INDIRECT("v_buffer_hist_hoy!$1:$1"),0)-1,100000,1),0)),"")</f>
        <v>0</v>
      </c>
      <c r="AF17" s="6">
        <f ca="1">IFERROR(INDEX(OFFSET(INDIRECT("v_buffer_hist_hoy!$A$1"),1,MATCH("buh_produccion",INDIRECT("v_buffer_hist_hoy!$1:$1"),0)-1,100000,1),MATCH(CLEAN(TABLATRANSFERENCIA[[#This Row],[CODIGO]]),OFFSET(INDIRECT("v_buffer_hist_hoy!$A$1"),1,MATCH("buh_codigo",INDIRECT("v_buffer_hist_hoy!$1:$1"),0)-1,100000,1),0)),"")</f>
        <v>0</v>
      </c>
      <c r="AG17" s="6">
        <f ca="1">IFERROR(INDEX(OFFSET(INDIRECT("v_buffer_hist_hoy!$A$1"),1,MATCH("buh_embarcado",INDIRECT("v_buffer_hist_hoy!$1:$1"),0)-1,100000,1),MATCH(CLEAN(TABLATRANSFERENCIA[[#This Row],[CODIGO]]),OFFSET(INDIRECT("v_buffer_hist_hoy!$A$1"),1,MATCH("buh_codigo",INDIRECT("v_buffer_hist_hoy!$1:$1"),0)-1,100000,1),0)),"")</f>
        <v>0</v>
      </c>
      <c r="AH17" s="6">
        <f ca="1">IFERROR(INDEX(OFFSET(INDIRECT("v_buffer_hist_hoy!$A$1"),1,MATCH("buh_comprometido",INDIRECT("v_buffer_hist_hoy!$1:$1"),0)-1,100000,1),MATCH(CLEAN(TABLATRANSFERENCIA[[#This Row],[CODIGO]]),OFFSET(INDIRECT("v_buffer_hist_hoy!$A$1"),1,MATCH("buh_codigo",INDIRECT("v_buffer_hist_hoy!$1:$1"),0)-1,100000,1),0)),"")</f>
        <v>0</v>
      </c>
      <c r="AI17" s="6">
        <f ca="1">IFERROR(INDEX(OFFSET(INDIRECT("v_buffer_hist_hoy!$A$1"),1,MATCH("buh_backorder",INDIRECT("v_buffer_hist_hoy!$1:$1"),0)-1,100000,1),MATCH(CLEAN(TABLATRANSFERENCIA[[#This Row],[CODIGO]]),OFFSET(INDIRECT("v_buffer_hist_hoy!$A$1"),1,MATCH("buh_codigo",INDIRECT("v_buffer_hist_hoy!$1:$1"),0)-1,100000,1),0)),"")</f>
        <v>0</v>
      </c>
      <c r="AJ17" s="6">
        <f ca="1">IFERROR(INDEX(OFFSET(INDIRECT("v_buffer_hist_hoy!$A$1"),1,MATCH("buh_inventario_proyectado",INDIRECT("v_buffer_hist_hoy!$1:$1"),0)-1,100000,1),MATCH(CLEAN(TABLATRANSFERENCIA[[#This Row],[CODIGO]]),OFFSET(INDIRECT("v_buffer_hist_hoy!$A$1"),1,MATCH("buh_codigo",INDIRECT("v_buffer_hist_hoy!$1:$1"),0)-1,100000,1),0)),"")</f>
        <v>3762</v>
      </c>
      <c r="AK17" s="4">
        <f ca="1">IFERROR(INDEX(OFFSET(INDIRECT("v_buffer_hist_hoy!$A$1"),1,MATCH("buh_estado_inventario_proyectado",INDIRECT("v_buffer_hist_hoy!$1:$1"),0)-1,100000,1),MATCH(CLEAN(TABLATRANSFERENCIA[[#This Row],[CODIGO]]),OFFSET(INDIRECT("v_buffer_hist_hoy!$A$1"),1,MATCH("buh_codigo",INDIRECT("v_buffer_hist_hoy!$1:$1"),0)-1,100000,1),0)),"")</f>
        <v>0.43</v>
      </c>
      <c r="AL17" s="6" t="str">
        <f ca="1">IFERROR(INDEX(OFFSET(INDIRECT("v_buffer_hist_hoy!$A$1"),1,MATCH("buh_color_inventario_proyectado",INDIRECT("v_buffer_hist_hoy!$1:$1"),0)-1,100000,1),MATCH(CLEAN(TABLATRANSFERENCIA[[#This Row],[CODIGO]]),OFFSET(INDIRECT("v_buffer_hist_hoy!$A$1"),1,MATCH("buh_codigo",INDIRECT("v_buffer_hist_hoy!$1:$1"),0)-1,100000,1),0)),"")</f>
        <v>A</v>
      </c>
      <c r="AM17" s="6">
        <f ca="1">IFERROR(INDEX(OFFSET(INDIRECT("v_buffer_hist_hoy!$A$1"),1,MATCH("buh_pedido_minimo",INDIRECT("v_buffer_hist_hoy!$1:$1"),0)-1,100000,1),MATCH(CLEAN(TABLATRANSFERENCIA[[#This Row],[CODIGO]]),OFFSET(INDIRECT("v_buffer_hist_hoy!$A$1"),1,MATCH("buh_codigo",INDIRECT("v_buffer_hist_hoy!$1:$1"),0)-1,100000,1),0)),"")</f>
        <v>0</v>
      </c>
      <c r="AN17" s="6">
        <f ca="1">IFERROR(INDEX(OFFSET(INDIRECT("v_buffer_hist_hoy!$A$1"),1,MATCH("buh_pedido_minimo_grupo",INDIRECT("v_buffer_hist_hoy!$1:$1"),0)-1,100000,1),MATCH(CLEAN(TABLATRANSFERENCIA[[#This Row],[CODIGO]]),OFFSET(INDIRECT("v_buffer_hist_hoy!$A$1"),1,MATCH("buh_codigo",INDIRECT("v_buffer_hist_hoy!$1:$1"),0)-1,100000,1),0)),"")</f>
        <v>0</v>
      </c>
      <c r="AO17" s="6">
        <f ca="1">IFERROR(INDEX(OFFSET(INDIRECT("v_buffer_hist_hoy!$A$1"),1,MATCH("buh_unidad_empaque",INDIRECT("v_buffer_hist_hoy!$1:$1"),0)-1,100000,1),MATCH(CLEAN(TABLATRANSFERENCIA[[#This Row],[CODIGO]]),OFFSET(INDIRECT("v_buffer_hist_hoy!$A$1"),1,MATCH("buh_codigo",INDIRECT("v_buffer_hist_hoy!$1:$1"),0)-1,100000,1),0)),"")</f>
        <v>0</v>
      </c>
      <c r="AP17" s="6">
        <f ca="1">IFERROR(INDEX(OFFSET(INDIRECT("v_buffer_hist_hoy!$A$1"),1,MATCH("buh_pedido_promedio",INDIRECT("v_buffer_hist_hoy!$1:$1"),0)-1,100000,1),MATCH(CLEAN(TABLATRANSFERENCIA[[#This Row],[CODIGO]]),OFFSET(INDIRECT("v_buffer_hist_hoy!$A$1"),1,MATCH("buh_codigo",INDIRECT("v_buffer_hist_hoy!$1:$1"),0)-1,100000,1),0)),"")</f>
        <v>1663</v>
      </c>
      <c r="AQ17" s="6">
        <f ca="1">IFERROR(INDEX(OFFSET(INDIRECT("v_buffer_hist_hoy!$A$1"),1,MATCH("buh_cobertura_buffer",INDIRECT("v_buffer_hist_hoy!$1:$1"),0)-1,100000,1),MATCH(CLEAN(TABLATRANSFERENCIA[[#This Row],[CODIGO]]),OFFSET(INDIRECT("v_buffer_hist_hoy!$A$1"),1,MATCH("buh_codigo",INDIRECT("v_buffer_hist_hoy!$1:$1"),0)-1,100000,1),0)),"")</f>
        <v>0</v>
      </c>
      <c r="AR17" s="6">
        <f ca="1">IFERROR(INDEX(OFFSET(INDIRECT("v_buffer_hist_hoy!$A$1"),1,MATCH("buh_cobertura_inventario_proyectado",INDIRECT("v_buffer_hist_hoy!$1:$1"),0)-1,100000,1),MATCH(CLEAN(TABLATRANSFERENCIA[[#This Row],[CODIGO]]),OFFSET(INDIRECT("v_buffer_hist_hoy!$A$1"),1,MATCH("buh_codigo",INDIRECT("v_buffer_hist_hoy!$1:$1"),0)-1,100000,1),0)),"")</f>
        <v>0</v>
      </c>
      <c r="AS17" s="6">
        <f ca="1">IFERROR(INDEX(OFFSET(INDIRECT("v_buffer_hist_hoy!$A$1"),1,MATCH("buh_cobertura_pedido_minimo",INDIRECT("v_buffer_hist_hoy!$1:$1"),0)-1,100000,1),MATCH(CLEAN(TABLATRANSFERENCIA[[#This Row],[CODIGO]]),OFFSET(INDIRECT("v_buffer_hist_hoy!$A$1"),1,MATCH("buh_codigo",INDIRECT("v_buffer_hist_hoy!$1:$1"),0)-1,100000,1),0)),"")</f>
        <v>0</v>
      </c>
      <c r="AT17" s="6">
        <f ca="1">IFERROR(INDEX(OFFSET(INDIRECT("v_buffer_hist_hoy!$A$1"),1,MATCH("buh_dias_desabastecimiento",INDIRECT("v_buffer_hist_hoy!$1:$1"),0)-1,100000,1),MATCH(CLEAN(TABLATRANSFERENCIA[[#This Row],[CODIGO]]),OFFSET(INDIRECT("v_buffer_hist_hoy!$A$1"),1,MATCH("buh_codigo",INDIRECT("v_buffer_hist_hoy!$1:$1"),0)-1,100000,1),0)),"")</f>
        <v>11</v>
      </c>
      <c r="AU17" s="6">
        <f t="array" ref="AU17">IFERROR(INDEX(Datos_Consumo[CANTIDAD],MATCH(TABLATRANSFERENCIA[[#This Row],[CODIGO]]&amp;TABLATRANSFERENCIA[[#Headers],[Columna1]],Datos_Consumo[CODIGO]&amp;Datos_Consumo[FECHA_FORMATO],0)),0)</f>
        <v>0</v>
      </c>
      <c r="AV17" s="6">
        <f t="array" ref="AV17">IFERROR(INDEX(Datos_Consumo[CANTIDAD],MATCH(TABLATRANSFERENCIA[[#This Row],[CODIGO]]&amp;TABLATRANSFERENCIA[[#Headers],[Columna2]],Datos_Consumo[CODIGO]&amp;Datos_Consumo[FECHA_FORMATO],0)),0)</f>
        <v>0</v>
      </c>
      <c r="AW17" s="6">
        <f t="array" ref="AW17">IFERROR(INDEX(Datos_Consumo[CANTIDAD],MATCH(TABLATRANSFERENCIA[[#This Row],[CODIGO]]&amp;TABLATRANSFERENCIA[[#Headers],[Columna3]],Datos_Consumo[CODIGO]&amp;Datos_Consumo[FECHA_FORMATO],0)),0)</f>
        <v>0</v>
      </c>
      <c r="AX17" s="6">
        <f t="array" ref="AX17">IFERROR(INDEX(Datos_Consumo[CANTIDAD],MATCH(TABLATRANSFERENCIA[[#This Row],[CODIGO]]&amp;TABLATRANSFERENCIA[[#Headers],[Columna4]],Datos_Consumo[CODIGO]&amp;Datos_Consumo[FECHA_FORMATO],0)),0)</f>
        <v>0</v>
      </c>
      <c r="AY17" s="6">
        <f t="array" ref="AY17">IFERROR(INDEX(Datos_Consumo[CANTIDAD],MATCH(TABLATRANSFERENCIA[[#This Row],[CODIGO]]&amp;TABLATRANSFERENCIA[[#Headers],[Columna5]],Datos_Consumo[CODIGO]&amp;Datos_Consumo[FECHA_FORMATO],0)),0)</f>
        <v>0</v>
      </c>
      <c r="AZ17" s="6">
        <f t="array" ref="AZ17">IFERROR(INDEX(Datos_Consumo[CANTIDAD],MATCH(TABLATRANSFERENCIA[[#This Row],[CODIGO]]&amp;TABLATRANSFERENCIA[[#Headers],[Columna6]],Datos_Consumo[CODIGO]&amp;Datos_Consumo[FECHA_FORMATO],0)),0)</f>
        <v>0</v>
      </c>
      <c r="BA17" s="54">
        <f ca="1">IFERROR(INDEX(OFFSET(INDIRECT("v_buffer_hist_hoy!$A$1"),1,MATCH("buh_ultima_transferencia_ini",INDIRECT("v_buffer_hist_hoy!$1:$1"),0)-1,100000,1),MATCH(CLEAN(TABLATRANSFERENCIA[[#This Row],[CODIGO]]),OFFSET(INDIRECT("v_buffer_hist_hoy!$A$1"),1,MATCH("buh_codigo",INDIRECT("v_buffer_hist_hoy!$1:$1"),0)-1,100000,1),0)),"")</f>
        <v>0</v>
      </c>
      <c r="BB17" s="54">
        <f ca="1">IFERROR(INDEX(OFFSET(INDIRECT("v_buffer_hist_hoy!$A$1"),1,MATCH("buh_ultima_transferencia_fin",INDIRECT("v_buffer_hist_hoy!$1:$1"),0)-1,100000,1),MATCH(CLEAN(TABLATRANSFERENCIA[[#This Row],[CODIGO]]),OFFSET(INDIRECT("v_buffer_hist_hoy!$A$1"),1,MATCH("buh_codigo",INDIRECT("v_buffer_hist_hoy!$1:$1"),0)-1,100000,1),0)),"")</f>
        <v>0</v>
      </c>
      <c r="BC17" s="60">
        <v>5000</v>
      </c>
      <c r="BD17" s="64">
        <v>5000</v>
      </c>
      <c r="BE17" s="51"/>
      <c r="BF17" s="51">
        <f>IF(RIGHT(TABLATRANSFERENCIA[[#Headers],[Emb1]],1)*1&lt;=TABLATRANSFERENCIA[[#This Row],[EMBARQUES]],IF(ISBLANK(TABLATRANSFERENCIA[[#This Row],[EMBARQUES]]),TABLATRANSFERENCIA[[#This Row],[REQUERIM]],ROUND(TABLATRANSFERENCIA[[#This Row],[REQUERIM]]/TABLATRANSFERENCIA[[#This Row],[EMBARQUES]],0)),TABLATRANSFERENCIA[[#This Row],[REQUERIM]])</f>
        <v>5000</v>
      </c>
      <c r="BG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7" s="51"/>
      <c r="BL17" s="46">
        <f ca="1">IFERROR(TABLATRANSFERENCIA[[#This Row],[REQUERIM]]/TABLATRANSFERENCIA[[#This Row],[PEDIDO PROMEDIO]],0)</f>
        <v>3.0066145520144318</v>
      </c>
      <c r="BM17" s="68">
        <v>5000</v>
      </c>
      <c r="BN17" s="58"/>
      <c r="BO17" s="3">
        <f>IF(TABLATRANSFERENCIA[[#This Row],[RECIBIDO]]&lt;&gt;"",0,IF(TABLATRANSFERENCIA[[#This Row],[DESPACHO]]&lt;&gt;"",TABLATRANSFERENCIA[[#This Row],[DESPACHO]],TABLATRANSFERENCIA[[#This Row],[REQUERIM]]))</f>
        <v>5000</v>
      </c>
      <c r="BP17" s="50"/>
      <c r="BQ17" s="50"/>
      <c r="BR17" s="50" t="str">
        <f>"N"</f>
        <v>N</v>
      </c>
      <c r="BS17" s="51">
        <f t="array" aca="1" ref="BS17" ca="1">IF(SUM(--(TABLATRANSFERENCIA[[#This Row],[CODIGO GENERICO]]=TABLATRANSFERENCIA[CODIGO GENERICO])*TABLATRANSFERENCIA[REQUERIM])&lt;TABLATRANSFERENCIA[[#This Row],[PEDIDO MIN GRUPO]],1,0)</f>
        <v>0</v>
      </c>
      <c r="BT1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U17" s="51">
        <f ca="1">IFERROR(INDEX(OFFSET(INDIRECT("v_buffer_hist_hoy!$A$1"),1,MATCH("buh_zona_amarilla",INDIRECT("v_buffer_hist_hoy!$1:$1"),0)-1,100000,1),MATCH(CLEAN(TABLATRANSFERENCIA[[#This Row],[CODIGO]]),OFFSET(INDIRECT("v_buffer_hist_hoy!$A$1"),1,MATCH("buh_codigo",INDIRECT("v_buffer_hist_hoy!$1:$1"),0)-1,100000,1),0)),"")</f>
        <v>4422</v>
      </c>
      <c r="BV17" s="51">
        <f ca="1">IFERROR(INDEX(OFFSET(INDIRECT("v_buffer_hist_hoy!$A$1"),1,MATCH("buh_zona_roja",INDIRECT("v_buffer_hist_hoy!$1:$1"),0)-1,100000,1),MATCH(CLEAN(TABLATRANSFERENCIA[[#This Row],[CODIGO]]),OFFSET(INDIRECT("v_buffer_hist_hoy!$A$1"),1,MATCH("buh_codigo",INDIRECT("v_buffer_hist_hoy!$1:$1"),0)-1,100000,1),0)),"")</f>
        <v>2195</v>
      </c>
    </row>
    <row r="18" spans="1:74" x14ac:dyDescent="0.25">
      <c r="A18" s="59" t="s">
        <v>1296</v>
      </c>
      <c r="B18" s="3" t="str">
        <f ca="1">IFERROR(INDEX(OFFSET(INDIRECT("v_buffer_hist_hoy!$A$1"),1,MATCH("pro_descripcion",INDIRECT("v_buffer_hist_hoy!$1:$1"),0)-1,100000,1),MATCH(CLEAN(TABLATRANSFERENCIA[[#This Row],[CODIGO]]),OFFSET(INDIRECT("v_buffer_hist_hoy!$A$1"),1,MATCH("buh_codigo",INDIRECT("v_buffer_hist_hoy!$1:$1"),0)-1,100000,1),0)),"")</f>
        <v>FUNDA IMPRESA PROFESIONAL THICKER X KIL</v>
      </c>
      <c r="C18" s="3" t="str">
        <f ca="1">IFERROR(INDEX(OFFSET(INDIRECT("v_buffer_hist_hoy!$A$1"),1,MATCH("buh_codigo_generico",INDIRECT("v_buffer_hist_hoy!$1:$1"),0)-1,100000,1),MATCH(CLEAN(TABLATRANSFERENCIA[[#This Row],[CODIGO]]),OFFSET(INDIRECT("v_buffer_hist_hoy!$A$1"),1,MATCH("buh_codigo",INDIRECT("v_buffer_hist_hoy!$1:$1"),0)-1,100000,1),0)),"")</f>
        <v>0</v>
      </c>
      <c r="D18" s="3" t="str">
        <f ca="1">IFERROR(INDEX(OFFSET(INDIRECT("v_buffer_hist_hoy!$A$1"),1,MATCH("buh_codigo_vinculado",INDIRECT("v_buffer_hist_hoy!$1:$1"),0)-1,100000,1),MATCH(CLEAN(TABLATRANSFERENCIA[[#This Row],[CODIGO]]),OFFSET(INDIRECT("v_buffer_hist_hoy!$A$1"),1,MATCH("buh_codigo",INDIRECT("v_buffer_hist_hoy!$1:$1"),0)-1,100000,1),0)),"")</f>
        <v>MPPRFITHI-KIL</v>
      </c>
      <c r="E18" s="3" t="str">
        <f ca="1">IFERROR(INDEX(OFFSET(INDIRECT("v_buffer_hist_hoy!$A$1"),1,MATCH("pro_linea",INDIRECT("v_buffer_hist_hoy!$1:$1"),0)-1,100000,1),MATCH(CLEAN(TABLATRANSFERENCIA[[#This Row],[CODIGO]]),OFFSET(INDIRECT("v_buffer_hist_hoy!$A$1"),1,MATCH("buh_codigo",INDIRECT("v_buffer_hist_hoy!$1:$1"),0)-1,100000,1),0)),"")</f>
        <v>PRODUCCION</v>
      </c>
      <c r="F18" s="3">
        <f ca="1">IFERROR(INDEX(OFFSET(INDIRECT("v_buffer_hist_hoy!$A$1"),1,MATCH("pro_sublinea",INDIRECT("v_buffer_hist_hoy!$1:$1"),0)-1,100000,1),MATCH(CLEAN(TABLATRANSFERENCIA[[#This Row],[CODIGO]]),OFFSET(INDIRECT("v_buffer_hist_hoy!$A$1"),1,MATCH("buh_codigo",INDIRECT("v_buffer_hist_hoy!$1:$1"),0)-1,100000,1),0)),"")</f>
        <v>0</v>
      </c>
      <c r="G18" s="3" t="str">
        <f ca="1">IFERROR(INDEX(OFFSET(INDIRECT("v_buffer_hist_hoy!$A$1"),1,MATCH("pro_grupo",INDIRECT("v_buffer_hist_hoy!$1:$1"),0)-1,100000,1),MATCH(CLEAN(TABLATRANSFERENCIA[[#This Row],[CODIGO]]),OFFSET(INDIRECT("v_buffer_hist_hoy!$A$1"),1,MATCH("buh_codigo",INDIRECT("v_buffer_hist_hoy!$1:$1"),0)-1,100000,1),0)),"")</f>
        <v>MATERIA PRIMA</v>
      </c>
      <c r="H18" s="3">
        <f ca="1">IFERROR(INDEX(OFFSET(INDIRECT("v_buffer_hist_hoy!$A$1"),1,MATCH("pro_familia",INDIRECT("v_buffer_hist_hoy!$1:$1"),0)-1,100000,1),MATCH(CLEAN(TABLATRANSFERENCIA[[#This Row],[CODIGO]]),OFFSET(INDIRECT("v_buffer_hist_hoy!$A$1"),1,MATCH("buh_codigo",INDIRECT("v_buffer_hist_hoy!$1:$1"),0)-1,100000,1),0)),"")</f>
        <v>0</v>
      </c>
      <c r="I18" s="3">
        <f ca="1">IFERROR(INDEX(OFFSET(INDIRECT("v_buffer_hist_hoy!$A$1"),1,MATCH("pro_subfamilia",INDIRECT("v_buffer_hist_hoy!$1:$1"),0)-1,100000,1),MATCH(CLEAN(TABLATRANSFERENCIA[[#This Row],[CODIGO]]),OFFSET(INDIRECT("v_buffer_hist_hoy!$A$1"),1,MATCH("buh_codigo",INDIRECT("v_buffer_hist_hoy!$1:$1"),0)-1,100000,1),0)),"")</f>
        <v>0</v>
      </c>
      <c r="J18" s="3" t="str">
        <f ca="1">IFERROR(INDEX(OFFSET(INDIRECT("v_buffer_hist_hoy!$A$1"),1,MATCH("pro_categoria",INDIRECT("v_buffer_hist_hoy!$1:$1"),0)-1,100000,1),MATCH(CLEAN(TABLATRANSFERENCIA[[#This Row],[CODIGO]]),OFFSET(INDIRECT("v_buffer_hist_hoy!$A$1"),1,MATCH("buh_codigo",INDIRECT("v_buffer_hist_hoy!$1:$1"),0)-1,100000,1),0)),"")</f>
        <v>FUNDAS PREIMPRESAS</v>
      </c>
      <c r="K18" s="3">
        <f ca="1">IFERROR(INDEX(OFFSET(INDIRECT("v_buffer_hist_hoy!$A$1"),1,MATCH("pro_tipo",INDIRECT("v_buffer_hist_hoy!$1:$1"),0)-1,100000,1),MATCH(CLEAN(TABLATRANSFERENCIA[[#This Row],[CODIGO]]),OFFSET(INDIRECT("v_buffer_hist_hoy!$A$1"),1,MATCH("buh_codigo",INDIRECT("v_buffer_hist_hoy!$1:$1"),0)-1,100000,1),0)),"")</f>
        <v>0</v>
      </c>
      <c r="L18" s="3" t="str">
        <f ca="1">IFERROR(INDEX(OFFSET(INDIRECT("v_buffer_hist_hoy!$A$1"),1,MATCH("pro_marca",INDIRECT("v_buffer_hist_hoy!$1:$1"),0)-1,100000,1),MATCH(CLEAN(TABLATRANSFERENCIA[[#This Row],[CODIGO]]),OFFSET(INDIRECT("v_buffer_hist_hoy!$A$1"),1,MATCH("buh_codigo",INDIRECT("v_buffer_hist_hoy!$1:$1"),0)-1,100000,1),0)),"")</f>
        <v>SINOCHEM</v>
      </c>
      <c r="M18" s="3">
        <f ca="1">IFERROR(INDEX(OFFSET(INDIRECT("v_buffer_hist_hoy!$A$1"),1,MATCH("pro_modelo",INDIRECT("v_buffer_hist_hoy!$1:$1"),0)-1,100000,1),MATCH(CLEAN(TABLATRANSFERENCIA[[#This Row],[CODIGO]]),OFFSET(INDIRECT("v_buffer_hist_hoy!$A$1"),1,MATCH("buh_codigo",INDIRECT("v_buffer_hist_hoy!$1:$1"),0)-1,100000,1),0)),"")</f>
        <v>0</v>
      </c>
      <c r="N18" s="3">
        <f ca="1">IFERROR(INDEX(OFFSET(INDIRECT("v_buffer_hist_hoy!$A$1"),1,MATCH("pro_cat_management",INDIRECT("v_buffer_hist_hoy!$1:$1"),0)-1,100000,1),MATCH(CLEAN(TABLATRANSFERENCIA[[#This Row],[CODIGO]]),OFFSET(INDIRECT("v_buffer_hist_hoy!$A$1"),1,MATCH("buh_codigo",INDIRECT("v_buffer_hist_hoy!$1:$1"),0)-1,100000,1),0)),"")</f>
        <v>0</v>
      </c>
      <c r="O18" s="5" t="str">
        <f ca="1">IFERROR(INDEX(OFFSET(INDIRECT("v_buffer_hist_hoy!$A$1"),1,MATCH("buh_estatus",INDIRECT("v_buffer_hist_hoy!$1:$1"),0)-1,100000,1),MATCH(CLEAN(TABLATRANSFERENCIA[[#This Row],[CODIGO]]),OFFSET(INDIRECT("v_buffer_hist_hoy!$A$1"),1,MATCH("buh_codigo",INDIRECT("v_buffer_hist_hoy!$1:$1"),0)-1,100000,1),0)),"")</f>
        <v>0</v>
      </c>
      <c r="P18" s="5">
        <f ca="1">IFERROR(INDEX(OFFSET(INDIRECT("v_buffer_hist_hoy!$A$1"),1,MATCH("buh_ctv",INDIRECT("v_buffer_hist_hoy!$1:$1"),0)-1,100000,1),MATCH(CLEAN(TABLATRANSFERENCIA[[#This Row],[CODIGO]]),OFFSET(INDIRECT("v_buffer_hist_hoy!$A$1"),1,MATCH("buh_codigo",INDIRECT("v_buffer_hist_hoy!$1:$1"),0)-1,100000,1),0)),"")</f>
        <v>0.33</v>
      </c>
      <c r="Q18" s="5">
        <f ca="1">IFERROR(INDEX(OFFSET(INDIRECT("v_buffer_hist_hoy!$A$1"),1,MATCH("buh_pv",INDIRECT("v_buffer_hist_hoy!$1:$1"),0)-1,100000,1),MATCH(CLEAN(TABLATRANSFERENCIA[[#This Row],[CODIGO]]),OFFSET(INDIRECT("v_buffer_hist_hoy!$A$1"),1,MATCH("buh_codigo",INDIRECT("v_buffer_hist_hoy!$1:$1"),0)-1,100000,1),0)),"")</f>
        <v>0</v>
      </c>
      <c r="R18" s="46">
        <f ca="1">IFERROR(INDEX(OFFSET(INDIRECT("v_buffer_hist_hoy!$A$1"),1,MATCH("buh_roi_pasado",INDIRECT("v_buffer_hist_hoy!$1:$1"),0)-1,100000,1),MATCH(CLEAN(TABLATRANSFERENCIA[[#This Row],[CODIGO]]),OFFSET(INDIRECT("v_buffer_hist_hoy!$A$1"),1,MATCH("buh_codigo",INDIRECT("v_buffer_hist_hoy!$1:$1"),0)-1,100000,1),0)),"")</f>
        <v>0</v>
      </c>
      <c r="S18" s="46">
        <f ca="1">IFERROR(INDEX(OFFSET(INDIRECT("v_buffer_hist_hoy!$A$1"),1,MATCH("buh_roi_proyectado",INDIRECT("v_buffer_hist_hoy!$1:$1"),0)-1,100000,1),MATCH(CLEAN(TABLATRANSFERENCIA[[#This Row],[CODIGO]]),OFFSET(INDIRECT("v_buffer_hist_hoy!$A$1"),1,MATCH("buh_codigo",INDIRECT("v_buffer_hist_hoy!$1:$1"),0)-1,100000,1),0)),"")</f>
        <v>-3</v>
      </c>
      <c r="T18" s="46">
        <f ca="1">IFERROR(INDEX(OFFSET(INDIRECT("v_buffer_hist_hoy!$A$1"),1,MATCH("buh_velocity",INDIRECT("v_buffer_hist_hoy!$1:$1"),0)-1,100000,1),MATCH(CLEAN(TABLATRANSFERENCIA[[#This Row],[CODIGO]]),OFFSET(INDIRECT("v_buffer_hist_hoy!$A$1"),1,MATCH("buh_codigo",INDIRECT("v_buffer_hist_hoy!$1:$1"),0)-1,100000,1),0)),"")</f>
        <v>0</v>
      </c>
      <c r="U18" s="46">
        <f ca="1">IFERROR(INDEX(OFFSET(INDIRECT("v_buffer_hist_hoy!$A$1"),1,MATCH("buh_nivel_servicio",INDIRECT("v_buffer_hist_hoy!$1:$1"),0)-1,100000,1),MATCH(CLEAN(TABLATRANSFERENCIA[[#This Row],[CODIGO]]),OFFSET(INDIRECT("v_buffer_hist_hoy!$A$1"),1,MATCH("buh_codigo",INDIRECT("v_buffer_hist_hoy!$1:$1"),0)-1,100000,1),0)),"")</f>
        <v>1</v>
      </c>
      <c r="V18" s="49" t="str">
        <f ca="1">IFERROR(INDEX(OFFSET(INDIRECT("v_buffer_hist_hoy!$A$1"),1,MATCH("pro_nombre",INDIRECT("v_buffer_hist_hoy!$1:$1"),0)-1,100000,1),MATCH(CLEAN(TABLATRANSFERENCIA[[#This Row],[CODIGO]]),OFFSET(INDIRECT("v_buffer_hist_hoy!$A$1"),1,MATCH("buh_codigo",INDIRECT("v_buffer_hist_hoy!$1:$1"),0)-1,100000,1),0)),"")</f>
        <v>Sinochem</v>
      </c>
      <c r="W18" s="49" t="str">
        <f ca="1">IFERROR(INDEX(OFFSET(INDIRECT("v_buffer_hist_hoy!$A$1"),1,MATCH("pre_nombre",INDIRECT("v_buffer_hist_hoy!$1:$1"),0)-1,100000,1),MATCH(CLEAN(TABLATRANSFERENCIA[[#This Row],[CODIGO]]),OFFSET(INDIRECT("v_buffer_hist_hoy!$A$1"),1,MATCH("buh_codigo",INDIRECT("v_buffer_hist_hoy!$1:$1"),0)-1,100000,1),0)),"")</f>
        <v>CHINA</v>
      </c>
      <c r="X18" s="51">
        <f ca="1">IFERROR(INDEX(OFFSET(INDIRECT("v_buffer_hist_hoy!$A$1"),1,MATCH("buh_tiempo_suministro",INDIRECT("v_buffer_hist_hoy!$1:$1"),0)-1,100000,1),MATCH(CLEAN(TABLATRANSFERENCIA[[#This Row],[CODIGO]]),OFFSET(INDIRECT("v_buffer_hist_hoy!$A$1"),1,MATCH("buh_codigo",INDIRECT("v_buffer_hist_hoy!$1:$1"),0)-1,100000,1),0)),"")</f>
        <v>12</v>
      </c>
      <c r="Y18" s="51">
        <f ca="1">IFERROR(INDEX(OFFSET(INDIRECT("v_buffer_hist_hoy!$A$1"),1,MATCH("buh_frecuencia_reposicion",INDIRECT("v_buffer_hist_hoy!$1:$1"),0)-1,100000,1),MATCH(CLEAN(TABLATRANSFERENCIA[[#This Row],[CODIGO]]),OFFSET(INDIRECT("v_buffer_hist_hoy!$A$1"),1,MATCH("buh_codigo",INDIRECT("v_buffer_hist_hoy!$1:$1"),0)-1,100000,1),0)),"")</f>
        <v>4</v>
      </c>
      <c r="Z18" s="6">
        <f ca="1">IFERROR(INDEX(OFFSET(INDIRECT("v_buffer_hist_hoy!$A$1"),1,MATCH("buh_buffer_actual",INDIRECT("v_buffer_hist_hoy!$1:$1"),0)-1,100000,1),MATCH(CLEAN(TABLATRANSFERENCIA[[#This Row],[CODIGO]]),OFFSET(INDIRECT("v_buffer_hist_hoy!$A$1"),1,MATCH("buh_codigo",INDIRECT("v_buffer_hist_hoy!$1:$1"),0)-1,100000,1),0)),"")</f>
        <v>5000</v>
      </c>
      <c r="AA18" s="6">
        <f ca="1">IFERROR(INDEX(OFFSET(INDIRECT("v_buffer_hist_hoy!$A$1"),1,MATCH("buh_inventario_fisico",INDIRECT("v_buffer_hist_hoy!$1:$1"),0)-1,100000,1),MATCH(CLEAN(TABLATRANSFERENCIA[[#This Row],[CODIGO]]),OFFSET(INDIRECT("v_buffer_hist_hoy!$A$1"),1,MATCH("buh_codigo",INDIRECT("v_buffer_hist_hoy!$1:$1"),0)-1,100000,1),0)),"")</f>
        <v>2325</v>
      </c>
      <c r="AB18" s="4">
        <f ca="1">IFERROR(INDEX(OFFSET(INDIRECT("v_buffer_hist_hoy!$A$1"),1,MATCH("buh_estado_inventario_fisico",INDIRECT("v_buffer_hist_hoy!$1:$1"),0)-1,100000,1),MATCH(CLEAN(TABLATRANSFERENCIA[[#This Row],[CODIGO]]),OFFSET(INDIRECT("v_buffer_hist_hoy!$A$1"),1,MATCH("buh_codigo",INDIRECT("v_buffer_hist_hoy!$1:$1"),0)-1,100000,1),0)),"")</f>
        <v>0.54</v>
      </c>
      <c r="AC18" s="6" t="str">
        <f ca="1">IFERROR(INDEX(OFFSET(INDIRECT("v_buffer_hist_hoy!$A$1"),1,MATCH("buh_color_inventario_fisico",INDIRECT("v_buffer_hist_hoy!$1:$1"),0)-1,100000,1),MATCH(CLEAN(TABLATRANSFERENCIA[[#This Row],[CODIGO]]),OFFSET(INDIRECT("v_buffer_hist_hoy!$A$1"),1,MATCH("buh_codigo",INDIRECT("v_buffer_hist_hoy!$1:$1"),0)-1,100000,1),0)),"")</f>
        <v>A</v>
      </c>
      <c r="AD18" s="6">
        <f ca="1">IFERROR(INDEX(OFFSET(INDIRECT("v_buffer_hist_hoy!$A$1"),1,MATCH("buh_transito",INDIRECT("v_buffer_hist_hoy!$1:$1"),0)-1,100000,1),MATCH(CLEAN(TABLATRANSFERENCIA[[#This Row],[CODIGO]]),OFFSET(INDIRECT("v_buffer_hist_hoy!$A$1"),1,MATCH("buh_codigo",INDIRECT("v_buffer_hist_hoy!$1:$1"),0)-1,100000,1),0)),"")</f>
        <v>0</v>
      </c>
      <c r="AE18" s="6">
        <f ca="1">IFERROR(INDEX(OFFSET(INDIRECT("v_buffer_hist_hoy!$A$1"),1,MATCH("buh_negociacion",INDIRECT("v_buffer_hist_hoy!$1:$1"),0)-1,100000,1),MATCH(CLEAN(TABLATRANSFERENCIA[[#This Row],[CODIGO]]),OFFSET(INDIRECT("v_buffer_hist_hoy!$A$1"),1,MATCH("buh_codigo",INDIRECT("v_buffer_hist_hoy!$1:$1"),0)-1,100000,1),0)),"")</f>
        <v>0</v>
      </c>
      <c r="AF18" s="6">
        <f ca="1">IFERROR(INDEX(OFFSET(INDIRECT("v_buffer_hist_hoy!$A$1"),1,MATCH("buh_produccion",INDIRECT("v_buffer_hist_hoy!$1:$1"),0)-1,100000,1),MATCH(CLEAN(TABLATRANSFERENCIA[[#This Row],[CODIGO]]),OFFSET(INDIRECT("v_buffer_hist_hoy!$A$1"),1,MATCH("buh_codigo",INDIRECT("v_buffer_hist_hoy!$1:$1"),0)-1,100000,1),0)),"")</f>
        <v>0</v>
      </c>
      <c r="AG18" s="6">
        <f ca="1">IFERROR(INDEX(OFFSET(INDIRECT("v_buffer_hist_hoy!$A$1"),1,MATCH("buh_embarcado",INDIRECT("v_buffer_hist_hoy!$1:$1"),0)-1,100000,1),MATCH(CLEAN(TABLATRANSFERENCIA[[#This Row],[CODIGO]]),OFFSET(INDIRECT("v_buffer_hist_hoy!$A$1"),1,MATCH("buh_codigo",INDIRECT("v_buffer_hist_hoy!$1:$1"),0)-1,100000,1),0)),"")</f>
        <v>0</v>
      </c>
      <c r="AH18" s="6">
        <f ca="1">IFERROR(INDEX(OFFSET(INDIRECT("v_buffer_hist_hoy!$A$1"),1,MATCH("buh_comprometido",INDIRECT("v_buffer_hist_hoy!$1:$1"),0)-1,100000,1),MATCH(CLEAN(TABLATRANSFERENCIA[[#This Row],[CODIGO]]),OFFSET(INDIRECT("v_buffer_hist_hoy!$A$1"),1,MATCH("buh_codigo",INDIRECT("v_buffer_hist_hoy!$1:$1"),0)-1,100000,1),0)),"")</f>
        <v>0</v>
      </c>
      <c r="AI18" s="6">
        <f ca="1">IFERROR(INDEX(OFFSET(INDIRECT("v_buffer_hist_hoy!$A$1"),1,MATCH("buh_backorder",INDIRECT("v_buffer_hist_hoy!$1:$1"),0)-1,100000,1),MATCH(CLEAN(TABLATRANSFERENCIA[[#This Row],[CODIGO]]),OFFSET(INDIRECT("v_buffer_hist_hoy!$A$1"),1,MATCH("buh_codigo",INDIRECT("v_buffer_hist_hoy!$1:$1"),0)-1,100000,1),0)),"")</f>
        <v>0</v>
      </c>
      <c r="AJ18" s="6">
        <f ca="1">IFERROR(INDEX(OFFSET(INDIRECT("v_buffer_hist_hoy!$A$1"),1,MATCH("buh_inventario_proyectado",INDIRECT("v_buffer_hist_hoy!$1:$1"),0)-1,100000,1),MATCH(CLEAN(TABLATRANSFERENCIA[[#This Row],[CODIGO]]),OFFSET(INDIRECT("v_buffer_hist_hoy!$A$1"),1,MATCH("buh_codigo",INDIRECT("v_buffer_hist_hoy!$1:$1"),0)-1,100000,1),0)),"")</f>
        <v>2325</v>
      </c>
      <c r="AK18" s="4">
        <f ca="1">IFERROR(INDEX(OFFSET(INDIRECT("v_buffer_hist_hoy!$A$1"),1,MATCH("buh_estado_inventario_proyectado",INDIRECT("v_buffer_hist_hoy!$1:$1"),0)-1,100000,1),MATCH(CLEAN(TABLATRANSFERENCIA[[#This Row],[CODIGO]]),OFFSET(INDIRECT("v_buffer_hist_hoy!$A$1"),1,MATCH("buh_codigo",INDIRECT("v_buffer_hist_hoy!$1:$1"),0)-1,100000,1),0)),"")</f>
        <v>0.54</v>
      </c>
      <c r="AL18" s="6" t="str">
        <f ca="1">IFERROR(INDEX(OFFSET(INDIRECT("v_buffer_hist_hoy!$A$1"),1,MATCH("buh_color_inventario_proyectado",INDIRECT("v_buffer_hist_hoy!$1:$1"),0)-1,100000,1),MATCH(CLEAN(TABLATRANSFERENCIA[[#This Row],[CODIGO]]),OFFSET(INDIRECT("v_buffer_hist_hoy!$A$1"),1,MATCH("buh_codigo",INDIRECT("v_buffer_hist_hoy!$1:$1"),0)-1,100000,1),0)),"")</f>
        <v>A</v>
      </c>
      <c r="AM18" s="6">
        <f ca="1">IFERROR(INDEX(OFFSET(INDIRECT("v_buffer_hist_hoy!$A$1"),1,MATCH("buh_pedido_minimo",INDIRECT("v_buffer_hist_hoy!$1:$1"),0)-1,100000,1),MATCH(CLEAN(TABLATRANSFERENCIA[[#This Row],[CODIGO]]),OFFSET(INDIRECT("v_buffer_hist_hoy!$A$1"),1,MATCH("buh_codigo",INDIRECT("v_buffer_hist_hoy!$1:$1"),0)-1,100000,1),0)),"")</f>
        <v>0</v>
      </c>
      <c r="AN18" s="6">
        <f ca="1">IFERROR(INDEX(OFFSET(INDIRECT("v_buffer_hist_hoy!$A$1"),1,MATCH("buh_pedido_minimo_grupo",INDIRECT("v_buffer_hist_hoy!$1:$1"),0)-1,100000,1),MATCH(CLEAN(TABLATRANSFERENCIA[[#This Row],[CODIGO]]),OFFSET(INDIRECT("v_buffer_hist_hoy!$A$1"),1,MATCH("buh_codigo",INDIRECT("v_buffer_hist_hoy!$1:$1"),0)-1,100000,1),0)),"")</f>
        <v>0</v>
      </c>
      <c r="AO18" s="6">
        <f ca="1">IFERROR(INDEX(OFFSET(INDIRECT("v_buffer_hist_hoy!$A$1"),1,MATCH("buh_unidad_empaque",INDIRECT("v_buffer_hist_hoy!$1:$1"),0)-1,100000,1),MATCH(CLEAN(TABLATRANSFERENCIA[[#This Row],[CODIGO]]),OFFSET(INDIRECT("v_buffer_hist_hoy!$A$1"),1,MATCH("buh_codigo",INDIRECT("v_buffer_hist_hoy!$1:$1"),0)-1,100000,1),0)),"")</f>
        <v>0</v>
      </c>
      <c r="AP18" s="6">
        <f ca="1">IFERROR(INDEX(OFFSET(INDIRECT("v_buffer_hist_hoy!$A$1"),1,MATCH("buh_pedido_promedio",INDIRECT("v_buffer_hist_hoy!$1:$1"),0)-1,100000,1),MATCH(CLEAN(TABLATRANSFERENCIA[[#This Row],[CODIGO]]),OFFSET(INDIRECT("v_buffer_hist_hoy!$A$1"),1,MATCH("buh_codigo",INDIRECT("v_buffer_hist_hoy!$1:$1"),0)-1,100000,1),0)),"")</f>
        <v>1250</v>
      </c>
      <c r="AQ18" s="6">
        <f ca="1">IFERROR(INDEX(OFFSET(INDIRECT("v_buffer_hist_hoy!$A$1"),1,MATCH("buh_cobertura_buffer",INDIRECT("v_buffer_hist_hoy!$1:$1"),0)-1,100000,1),MATCH(CLEAN(TABLATRANSFERENCIA[[#This Row],[CODIGO]]),OFFSET(INDIRECT("v_buffer_hist_hoy!$A$1"),1,MATCH("buh_codigo",INDIRECT("v_buffer_hist_hoy!$1:$1"),0)-1,100000,1),0)),"")</f>
        <v>0</v>
      </c>
      <c r="AR18" s="6">
        <f ca="1">IFERROR(INDEX(OFFSET(INDIRECT("v_buffer_hist_hoy!$A$1"),1,MATCH("buh_cobertura_inventario_proyectado",INDIRECT("v_buffer_hist_hoy!$1:$1"),0)-1,100000,1),MATCH(CLEAN(TABLATRANSFERENCIA[[#This Row],[CODIGO]]),OFFSET(INDIRECT("v_buffer_hist_hoy!$A$1"),1,MATCH("buh_codigo",INDIRECT("v_buffer_hist_hoy!$1:$1"),0)-1,100000,1),0)),"")</f>
        <v>0</v>
      </c>
      <c r="AS18" s="6">
        <f ca="1">IFERROR(INDEX(OFFSET(INDIRECT("v_buffer_hist_hoy!$A$1"),1,MATCH("buh_cobertura_pedido_minimo",INDIRECT("v_buffer_hist_hoy!$1:$1"),0)-1,100000,1),MATCH(CLEAN(TABLATRANSFERENCIA[[#This Row],[CODIGO]]),OFFSET(INDIRECT("v_buffer_hist_hoy!$A$1"),1,MATCH("buh_codigo",INDIRECT("v_buffer_hist_hoy!$1:$1"),0)-1,100000,1),0)),"")</f>
        <v>0</v>
      </c>
      <c r="AT18" s="6">
        <f ca="1">IFERROR(INDEX(OFFSET(INDIRECT("v_buffer_hist_hoy!$A$1"),1,MATCH("buh_dias_desabastecimiento",INDIRECT("v_buffer_hist_hoy!$1:$1"),0)-1,100000,1),MATCH(CLEAN(TABLATRANSFERENCIA[[#This Row],[CODIGO]]),OFFSET(INDIRECT("v_buffer_hist_hoy!$A$1"),1,MATCH("buh_codigo",INDIRECT("v_buffer_hist_hoy!$1:$1"),0)-1,100000,1),0)),"")</f>
        <v>11</v>
      </c>
      <c r="AU18" s="6">
        <f t="array" ref="AU18">IFERROR(INDEX(Datos_Consumo[CANTIDAD],MATCH(TABLATRANSFERENCIA[[#This Row],[CODIGO]]&amp;TABLATRANSFERENCIA[[#Headers],[Columna1]],Datos_Consumo[CODIGO]&amp;Datos_Consumo[FECHA_FORMATO],0)),0)</f>
        <v>0</v>
      </c>
      <c r="AV18" s="6">
        <f t="array" ref="AV18">IFERROR(INDEX(Datos_Consumo[CANTIDAD],MATCH(TABLATRANSFERENCIA[[#This Row],[CODIGO]]&amp;TABLATRANSFERENCIA[[#Headers],[Columna2]],Datos_Consumo[CODIGO]&amp;Datos_Consumo[FECHA_FORMATO],0)),0)</f>
        <v>0</v>
      </c>
      <c r="AW18" s="6">
        <f t="array" ref="AW18">IFERROR(INDEX(Datos_Consumo[CANTIDAD],MATCH(TABLATRANSFERENCIA[[#This Row],[CODIGO]]&amp;TABLATRANSFERENCIA[[#Headers],[Columna3]],Datos_Consumo[CODIGO]&amp;Datos_Consumo[FECHA_FORMATO],0)),0)</f>
        <v>0</v>
      </c>
      <c r="AX18" s="6">
        <f t="array" ref="AX18">IFERROR(INDEX(Datos_Consumo[CANTIDAD],MATCH(TABLATRANSFERENCIA[[#This Row],[CODIGO]]&amp;TABLATRANSFERENCIA[[#Headers],[Columna4]],Datos_Consumo[CODIGO]&amp;Datos_Consumo[FECHA_FORMATO],0)),0)</f>
        <v>0</v>
      </c>
      <c r="AY18" s="6">
        <f t="array" ref="AY18">IFERROR(INDEX(Datos_Consumo[CANTIDAD],MATCH(TABLATRANSFERENCIA[[#This Row],[CODIGO]]&amp;TABLATRANSFERENCIA[[#Headers],[Columna5]],Datos_Consumo[CODIGO]&amp;Datos_Consumo[FECHA_FORMATO],0)),0)</f>
        <v>0</v>
      </c>
      <c r="AZ18" s="6">
        <f t="array" ref="AZ18">IFERROR(INDEX(Datos_Consumo[CANTIDAD],MATCH(TABLATRANSFERENCIA[[#This Row],[CODIGO]]&amp;TABLATRANSFERENCIA[[#Headers],[Columna6]],Datos_Consumo[CODIGO]&amp;Datos_Consumo[FECHA_FORMATO],0)),0)</f>
        <v>0</v>
      </c>
      <c r="BA18" s="54">
        <f ca="1">IFERROR(INDEX(OFFSET(INDIRECT("v_buffer_hist_hoy!$A$1"),1,MATCH("buh_ultima_transferencia_ini",INDIRECT("v_buffer_hist_hoy!$1:$1"),0)-1,100000,1),MATCH(CLEAN(TABLATRANSFERENCIA[[#This Row],[CODIGO]]),OFFSET(INDIRECT("v_buffer_hist_hoy!$A$1"),1,MATCH("buh_codigo",INDIRECT("v_buffer_hist_hoy!$1:$1"),0)-1,100000,1),0)),"")</f>
        <v>0</v>
      </c>
      <c r="BB18" s="54">
        <f ca="1">IFERROR(INDEX(OFFSET(INDIRECT("v_buffer_hist_hoy!$A$1"),1,MATCH("buh_ultima_transferencia_fin",INDIRECT("v_buffer_hist_hoy!$1:$1"),0)-1,100000,1),MATCH(CLEAN(TABLATRANSFERENCIA[[#This Row],[CODIGO]]),OFFSET(INDIRECT("v_buffer_hist_hoy!$A$1"),1,MATCH("buh_codigo",INDIRECT("v_buffer_hist_hoy!$1:$1"),0)-1,100000,1),0)),"")</f>
        <v>0</v>
      </c>
      <c r="BC18" s="60">
        <v>5000</v>
      </c>
      <c r="BD18" s="64">
        <v>5000</v>
      </c>
      <c r="BE18" s="51"/>
      <c r="BF18" s="51">
        <f>IF(RIGHT(TABLATRANSFERENCIA[[#Headers],[Emb1]],1)*1&lt;=TABLATRANSFERENCIA[[#This Row],[EMBARQUES]],IF(ISBLANK(TABLATRANSFERENCIA[[#This Row],[EMBARQUES]]),TABLATRANSFERENCIA[[#This Row],[REQUERIM]],ROUND(TABLATRANSFERENCIA[[#This Row],[REQUERIM]]/TABLATRANSFERENCIA[[#This Row],[EMBARQUES]],0)),TABLATRANSFERENCIA[[#This Row],[REQUERIM]])</f>
        <v>5000</v>
      </c>
      <c r="BG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8" s="51"/>
      <c r="BL18" s="46">
        <f ca="1">IFERROR(TABLATRANSFERENCIA[[#This Row],[REQUERIM]]/TABLATRANSFERENCIA[[#This Row],[PEDIDO PROMEDIO]],0)</f>
        <v>4</v>
      </c>
      <c r="BM18" s="68">
        <v>5000</v>
      </c>
      <c r="BN18" s="58"/>
      <c r="BO18" s="3">
        <f>IF(TABLATRANSFERENCIA[[#This Row],[RECIBIDO]]&lt;&gt;"",0,IF(TABLATRANSFERENCIA[[#This Row],[DESPACHO]]&lt;&gt;"",TABLATRANSFERENCIA[[#This Row],[DESPACHO]],TABLATRANSFERENCIA[[#This Row],[REQUERIM]]))</f>
        <v>5000</v>
      </c>
      <c r="BP18" s="50"/>
      <c r="BQ18" s="50"/>
      <c r="BR18" s="50" t="str">
        <f>"N"</f>
        <v>N</v>
      </c>
      <c r="BS18" s="51">
        <f t="array" aca="1" ref="BS18" ca="1">IF(SUM(--(TABLATRANSFERENCIA[[#This Row],[CODIGO GENERICO]]=TABLATRANSFERENCIA[CODIGO GENERICO])*TABLATRANSFERENCIA[REQUERIM])&lt;TABLATRANSFERENCIA[[#This Row],[PEDIDO MIN GRUPO]],1,0)</f>
        <v>0</v>
      </c>
      <c r="BT1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U18" s="51">
        <f ca="1">IFERROR(INDEX(OFFSET(INDIRECT("v_buffer_hist_hoy!$A$1"),1,MATCH("buh_zona_amarilla",INDIRECT("v_buffer_hist_hoy!$1:$1"),0)-1,100000,1),MATCH(CLEAN(TABLATRANSFERENCIA[[#This Row],[CODIGO]]),OFFSET(INDIRECT("v_buffer_hist_hoy!$A$1"),1,MATCH("buh_codigo",INDIRECT("v_buffer_hist_hoy!$1:$1"),0)-1,100000,1),0)),"")</f>
        <v>3325</v>
      </c>
      <c r="BV18" s="51">
        <f ca="1">IFERROR(INDEX(OFFSET(INDIRECT("v_buffer_hist_hoy!$A$1"),1,MATCH("buh_zona_roja",INDIRECT("v_buffer_hist_hoy!$1:$1"),0)-1,100000,1),MATCH(CLEAN(TABLATRANSFERENCIA[[#This Row],[CODIGO]]),OFFSET(INDIRECT("v_buffer_hist_hoy!$A$1"),1,MATCH("buh_codigo",INDIRECT("v_buffer_hist_hoy!$1:$1"),0)-1,100000,1),0)),"")</f>
        <v>1650</v>
      </c>
    </row>
    <row r="19" spans="1:74" x14ac:dyDescent="0.25">
      <c r="A19" s="59" t="s">
        <v>1276</v>
      </c>
      <c r="B19" s="3" t="str">
        <f ca="1">IFERROR(INDEX(OFFSET(INDIRECT("v_buffer_hist_hoy!$A$1"),1,MATCH("pro_descripcion",INDIRECT("v_buffer_hist_hoy!$1:$1"),0)-1,100000,1),MATCH(CLEAN(TABLATRANSFERENCIA[[#This Row],[CODIGO]]),OFFSET(INDIRECT("v_buffer_hist_hoy!$A$1"),1,MATCH("buh_codigo",INDIRECT("v_buffer_hist_hoy!$1:$1"),0)-1,100000,1),0)),"")</f>
        <v>LAMBDACIHALOTRINA 2.5% EC x 200LIT</v>
      </c>
      <c r="C19" s="3" t="str">
        <f ca="1">IFERROR(INDEX(OFFSET(INDIRECT("v_buffer_hist_hoy!$A$1"),1,MATCH("buh_codigo_generico",INDIRECT("v_buffer_hist_hoy!$1:$1"),0)-1,100000,1),MATCH(CLEAN(TABLATRANSFERENCIA[[#This Row],[CODIGO]]),OFFSET(INDIRECT("v_buffer_hist_hoy!$A$1"),1,MATCH("buh_codigo",INDIRECT("v_buffer_hist_hoy!$1:$1"),0)-1,100000,1),0)),"")</f>
        <v>0</v>
      </c>
      <c r="D19" s="3" t="str">
        <f ca="1">IFERROR(INDEX(OFFSET(INDIRECT("v_buffer_hist_hoy!$A$1"),1,MATCH("buh_codigo_vinculado",INDIRECT("v_buffer_hist_hoy!$1:$1"),0)-1,100000,1),MATCH(CLEAN(TABLATRANSFERENCIA[[#This Row],[CODIGO]]),OFFSET(INDIRECT("v_buffer_hist_hoy!$A$1"),1,MATCH("buh_codigo",INDIRECT("v_buffer_hist_hoy!$1:$1"),0)-1,100000,1),0)),"")</f>
        <v>MPINCOLCY-200LIT</v>
      </c>
      <c r="E19" s="3" t="str">
        <f ca="1">IFERROR(INDEX(OFFSET(INDIRECT("v_buffer_hist_hoy!$A$1"),1,MATCH("pro_linea",INDIRECT("v_buffer_hist_hoy!$1:$1"),0)-1,100000,1),MATCH(CLEAN(TABLATRANSFERENCIA[[#This Row],[CODIGO]]),OFFSET(INDIRECT("v_buffer_hist_hoy!$A$1"),1,MATCH("buh_codigo",INDIRECT("v_buffer_hist_hoy!$1:$1"),0)-1,100000,1),0)),"")</f>
        <v>PLAGUICIDAS CONVENCIONALES</v>
      </c>
      <c r="F19" s="3">
        <f ca="1">IFERROR(INDEX(OFFSET(INDIRECT("v_buffer_hist_hoy!$A$1"),1,MATCH("pro_sublinea",INDIRECT("v_buffer_hist_hoy!$1:$1"),0)-1,100000,1),MATCH(CLEAN(TABLATRANSFERENCIA[[#This Row],[CODIGO]]),OFFSET(INDIRECT("v_buffer_hist_hoy!$A$1"),1,MATCH("buh_codigo",INDIRECT("v_buffer_hist_hoy!$1:$1"),0)-1,100000,1),0)),"")</f>
        <v>0</v>
      </c>
      <c r="G19" s="3" t="str">
        <f ca="1">IFERROR(INDEX(OFFSET(INDIRECT("v_buffer_hist_hoy!$A$1"),1,MATCH("pro_grupo",INDIRECT("v_buffer_hist_hoy!$1:$1"),0)-1,100000,1),MATCH(CLEAN(TABLATRANSFERENCIA[[#This Row],[CODIGO]]),OFFSET(INDIRECT("v_buffer_hist_hoy!$A$1"),1,MATCH("buh_codigo",INDIRECT("v_buffer_hist_hoy!$1:$1"),0)-1,100000,1),0)),"")</f>
        <v>LAMBDACIHALOTRINA 2.5% EC</v>
      </c>
      <c r="H19" s="3">
        <f ca="1">IFERROR(INDEX(OFFSET(INDIRECT("v_buffer_hist_hoy!$A$1"),1,MATCH("pro_familia",INDIRECT("v_buffer_hist_hoy!$1:$1"),0)-1,100000,1),MATCH(CLEAN(TABLATRANSFERENCIA[[#This Row],[CODIGO]]),OFFSET(INDIRECT("v_buffer_hist_hoy!$A$1"),1,MATCH("buh_codigo",INDIRECT("v_buffer_hist_hoy!$1:$1"),0)-1,100000,1),0)),"")</f>
        <v>0</v>
      </c>
      <c r="I19" s="3">
        <f ca="1">IFERROR(INDEX(OFFSET(INDIRECT("v_buffer_hist_hoy!$A$1"),1,MATCH("pro_subfamilia",INDIRECT("v_buffer_hist_hoy!$1:$1"),0)-1,100000,1),MATCH(CLEAN(TABLATRANSFERENCIA[[#This Row],[CODIGO]]),OFFSET(INDIRECT("v_buffer_hist_hoy!$A$1"),1,MATCH("buh_codigo",INDIRECT("v_buffer_hist_hoy!$1:$1"),0)-1,100000,1),0)),"")</f>
        <v>0</v>
      </c>
      <c r="J19" s="3" t="str">
        <f ca="1">IFERROR(INDEX(OFFSET(INDIRECT("v_buffer_hist_hoy!$A$1"),1,MATCH("pro_categoria",INDIRECT("v_buffer_hist_hoy!$1:$1"),0)-1,100000,1),MATCH(CLEAN(TABLATRANSFERENCIA[[#This Row],[CODIGO]]),OFFSET(INDIRECT("v_buffer_hist_hoy!$A$1"),1,MATCH("buh_codigo",INDIRECT("v_buffer_hist_hoy!$1:$1"),0)-1,100000,1),0)),"")</f>
        <v>INSECTICIDA</v>
      </c>
      <c r="K19" s="3">
        <f ca="1">IFERROR(INDEX(OFFSET(INDIRECT("v_buffer_hist_hoy!$A$1"),1,MATCH("pro_tipo",INDIRECT("v_buffer_hist_hoy!$1:$1"),0)-1,100000,1),MATCH(CLEAN(TABLATRANSFERENCIA[[#This Row],[CODIGO]]),OFFSET(INDIRECT("v_buffer_hist_hoy!$A$1"),1,MATCH("buh_codigo",INDIRECT("v_buffer_hist_hoy!$1:$1"),0)-1,100000,1),0)),"")</f>
        <v>0</v>
      </c>
      <c r="L19" s="3" t="str">
        <f ca="1">IFERROR(INDEX(OFFSET(INDIRECT("v_buffer_hist_hoy!$A$1"),1,MATCH("pro_marca",INDIRECT("v_buffer_hist_hoy!$1:$1"),0)-1,100000,1),MATCH(CLEAN(TABLATRANSFERENCIA[[#This Row],[CODIGO]]),OFFSET(INDIRECT("v_buffer_hist_hoy!$A$1"),1,MATCH("buh_codigo",INDIRECT("v_buffer_hist_hoy!$1:$1"),0)-1,100000,1),0)),"")</f>
        <v>SINOCHEM</v>
      </c>
      <c r="M19" s="3">
        <f ca="1">IFERROR(INDEX(OFFSET(INDIRECT("v_buffer_hist_hoy!$A$1"),1,MATCH("pro_modelo",INDIRECT("v_buffer_hist_hoy!$1:$1"),0)-1,100000,1),MATCH(CLEAN(TABLATRANSFERENCIA[[#This Row],[CODIGO]]),OFFSET(INDIRECT("v_buffer_hist_hoy!$A$1"),1,MATCH("buh_codigo",INDIRECT("v_buffer_hist_hoy!$1:$1"),0)-1,100000,1),0)),"")</f>
        <v>0</v>
      </c>
      <c r="N19" s="3">
        <f ca="1">IFERROR(INDEX(OFFSET(INDIRECT("v_buffer_hist_hoy!$A$1"),1,MATCH("pro_cat_management",INDIRECT("v_buffer_hist_hoy!$1:$1"),0)-1,100000,1),MATCH(CLEAN(TABLATRANSFERENCIA[[#This Row],[CODIGO]]),OFFSET(INDIRECT("v_buffer_hist_hoy!$A$1"),1,MATCH("buh_codigo",INDIRECT("v_buffer_hist_hoy!$1:$1"),0)-1,100000,1),0)),"")</f>
        <v>0</v>
      </c>
      <c r="O19" s="5" t="str">
        <f ca="1">IFERROR(INDEX(OFFSET(INDIRECT("v_buffer_hist_hoy!$A$1"),1,MATCH("buh_estatus",INDIRECT("v_buffer_hist_hoy!$1:$1"),0)-1,100000,1),MATCH(CLEAN(TABLATRANSFERENCIA[[#This Row],[CODIGO]]),OFFSET(INDIRECT("v_buffer_hist_hoy!$A$1"),1,MATCH("buh_codigo",INDIRECT("v_buffer_hist_hoy!$1:$1"),0)-1,100000,1),0)),"")</f>
        <v>0</v>
      </c>
      <c r="P19" s="5">
        <f ca="1">IFERROR(INDEX(OFFSET(INDIRECT("v_buffer_hist_hoy!$A$1"),1,MATCH("buh_ctv",INDIRECT("v_buffer_hist_hoy!$1:$1"),0)-1,100000,1),MATCH(CLEAN(TABLATRANSFERENCIA[[#This Row],[CODIGO]]),OFFSET(INDIRECT("v_buffer_hist_hoy!$A$1"),1,MATCH("buh_codigo",INDIRECT("v_buffer_hist_hoy!$1:$1"),0)-1,100000,1),0)),"")</f>
        <v>684.87</v>
      </c>
      <c r="Q19" s="5">
        <f ca="1">IFERROR(INDEX(OFFSET(INDIRECT("v_buffer_hist_hoy!$A$1"),1,MATCH("buh_pv",INDIRECT("v_buffer_hist_hoy!$1:$1"),0)-1,100000,1),MATCH(CLEAN(TABLATRANSFERENCIA[[#This Row],[CODIGO]]),OFFSET(INDIRECT("v_buffer_hist_hoy!$A$1"),1,MATCH("buh_codigo",INDIRECT("v_buffer_hist_hoy!$1:$1"),0)-1,100000,1),0)),"")</f>
        <v>2000</v>
      </c>
      <c r="R19" s="46">
        <f ca="1">IFERROR(INDEX(OFFSET(INDIRECT("v_buffer_hist_hoy!$A$1"),1,MATCH("buh_roi_pasado",INDIRECT("v_buffer_hist_hoy!$1:$1"),0)-1,100000,1),MATCH(CLEAN(TABLATRANSFERENCIA[[#This Row],[CODIGO]]),OFFSET(INDIRECT("v_buffer_hist_hoy!$A$1"),1,MATCH("buh_codigo",INDIRECT("v_buffer_hist_hoy!$1:$1"),0)-1,100000,1),0)),"")</f>
        <v>0</v>
      </c>
      <c r="S19" s="46">
        <f ca="1">IFERROR(INDEX(OFFSET(INDIRECT("v_buffer_hist_hoy!$A$1"),1,MATCH("buh_roi_proyectado",INDIRECT("v_buffer_hist_hoy!$1:$1"),0)-1,100000,1),MATCH(CLEAN(TABLATRANSFERENCIA[[#This Row],[CODIGO]]),OFFSET(INDIRECT("v_buffer_hist_hoy!$A$1"),1,MATCH("buh_codigo",INDIRECT("v_buffer_hist_hoy!$1:$1"),0)-1,100000,1),0)),"")</f>
        <v>5.76</v>
      </c>
      <c r="T19" s="46">
        <f ca="1">IFERROR(INDEX(OFFSET(INDIRECT("v_buffer_hist_hoy!$A$1"),1,MATCH("buh_velocity",INDIRECT("v_buffer_hist_hoy!$1:$1"),0)-1,100000,1),MATCH(CLEAN(TABLATRANSFERENCIA[[#This Row],[CODIGO]]),OFFSET(INDIRECT("v_buffer_hist_hoy!$A$1"),1,MATCH("buh_codigo",INDIRECT("v_buffer_hist_hoy!$1:$1"),0)-1,100000,1),0)),"")</f>
        <v>0</v>
      </c>
      <c r="U19" s="46">
        <f ca="1">IFERROR(INDEX(OFFSET(INDIRECT("v_buffer_hist_hoy!$A$1"),1,MATCH("buh_nivel_servicio",INDIRECT("v_buffer_hist_hoy!$1:$1"),0)-1,100000,1),MATCH(CLEAN(TABLATRANSFERENCIA[[#This Row],[CODIGO]]),OFFSET(INDIRECT("v_buffer_hist_hoy!$A$1"),1,MATCH("buh_codigo",INDIRECT("v_buffer_hist_hoy!$1:$1"),0)-1,100000,1),0)),"")</f>
        <v>1</v>
      </c>
      <c r="V19" s="49" t="str">
        <f ca="1">IFERROR(INDEX(OFFSET(INDIRECT("v_buffer_hist_hoy!$A$1"),1,MATCH("pro_nombre",INDIRECT("v_buffer_hist_hoy!$1:$1"),0)-1,100000,1),MATCH(CLEAN(TABLATRANSFERENCIA[[#This Row],[CODIGO]]),OFFSET(INDIRECT("v_buffer_hist_hoy!$A$1"),1,MATCH("buh_codigo",INDIRECT("v_buffer_hist_hoy!$1:$1"),0)-1,100000,1),0)),"")</f>
        <v>Sinochem</v>
      </c>
      <c r="W19" s="49" t="str">
        <f ca="1">IFERROR(INDEX(OFFSET(INDIRECT("v_buffer_hist_hoy!$A$1"),1,MATCH("pre_nombre",INDIRECT("v_buffer_hist_hoy!$1:$1"),0)-1,100000,1),MATCH(CLEAN(TABLATRANSFERENCIA[[#This Row],[CODIGO]]),OFFSET(INDIRECT("v_buffer_hist_hoy!$A$1"),1,MATCH("buh_codigo",INDIRECT("v_buffer_hist_hoy!$1:$1"),0)-1,100000,1),0)),"")</f>
        <v>CHINA</v>
      </c>
      <c r="X19" s="51">
        <f ca="1">IFERROR(INDEX(OFFSET(INDIRECT("v_buffer_hist_hoy!$A$1"),1,MATCH("buh_tiempo_suministro",INDIRECT("v_buffer_hist_hoy!$1:$1"),0)-1,100000,1),MATCH(CLEAN(TABLATRANSFERENCIA[[#This Row],[CODIGO]]),OFFSET(INDIRECT("v_buffer_hist_hoy!$A$1"),1,MATCH("buh_codigo",INDIRECT("v_buffer_hist_hoy!$1:$1"),0)-1,100000,1),0)),"")</f>
        <v>12</v>
      </c>
      <c r="Y19" s="51">
        <f ca="1">IFERROR(INDEX(OFFSET(INDIRECT("v_buffer_hist_hoy!$A$1"),1,MATCH("buh_frecuencia_reposicion",INDIRECT("v_buffer_hist_hoy!$1:$1"),0)-1,100000,1),MATCH(CLEAN(TABLATRANSFERENCIA[[#This Row],[CODIGO]]),OFFSET(INDIRECT("v_buffer_hist_hoy!$A$1"),1,MATCH("buh_codigo",INDIRECT("v_buffer_hist_hoy!$1:$1"),0)-1,100000,1),0)),"")</f>
        <v>4</v>
      </c>
      <c r="Z19" s="6">
        <f ca="1">IFERROR(INDEX(OFFSET(INDIRECT("v_buffer_hist_hoy!$A$1"),1,MATCH("buh_buffer_actual",INDIRECT("v_buffer_hist_hoy!$1:$1"),0)-1,100000,1),MATCH(CLEAN(TABLATRANSFERENCIA[[#This Row],[CODIGO]]),OFFSET(INDIRECT("v_buffer_hist_hoy!$A$1"),1,MATCH("buh_codigo",INDIRECT("v_buffer_hist_hoy!$1:$1"),0)-1,100000,1),0)),"")</f>
        <v>30</v>
      </c>
      <c r="AA19" s="6">
        <f ca="1">IFERROR(INDEX(OFFSET(INDIRECT("v_buffer_hist_hoy!$A$1"),1,MATCH("buh_inventario_fisico",INDIRECT("v_buffer_hist_hoy!$1:$1"),0)-1,100000,1),MATCH(CLEAN(TABLATRANSFERENCIA[[#This Row],[CODIGO]]),OFFSET(INDIRECT("v_buffer_hist_hoy!$A$1"),1,MATCH("buh_codigo",INDIRECT("v_buffer_hist_hoy!$1:$1"),0)-1,100000,1),0)),"")</f>
        <v>12.37</v>
      </c>
      <c r="AB19" s="4">
        <f ca="1">IFERROR(INDEX(OFFSET(INDIRECT("v_buffer_hist_hoy!$A$1"),1,MATCH("buh_estado_inventario_fisico",INDIRECT("v_buffer_hist_hoy!$1:$1"),0)-1,100000,1),MATCH(CLEAN(TABLATRANSFERENCIA[[#This Row],[CODIGO]]),OFFSET(INDIRECT("v_buffer_hist_hoy!$A$1"),1,MATCH("buh_codigo",INDIRECT("v_buffer_hist_hoy!$1:$1"),0)-1,100000,1),0)),"")</f>
        <v>0.59</v>
      </c>
      <c r="AC19" s="6" t="str">
        <f ca="1">IFERROR(INDEX(OFFSET(INDIRECT("v_buffer_hist_hoy!$A$1"),1,MATCH("buh_color_inventario_fisico",INDIRECT("v_buffer_hist_hoy!$1:$1"),0)-1,100000,1),MATCH(CLEAN(TABLATRANSFERENCIA[[#This Row],[CODIGO]]),OFFSET(INDIRECT("v_buffer_hist_hoy!$A$1"),1,MATCH("buh_codigo",INDIRECT("v_buffer_hist_hoy!$1:$1"),0)-1,100000,1),0)),"")</f>
        <v>A</v>
      </c>
      <c r="AD19" s="6">
        <f ca="1">IFERROR(INDEX(OFFSET(INDIRECT("v_buffer_hist_hoy!$A$1"),1,MATCH("buh_transito",INDIRECT("v_buffer_hist_hoy!$1:$1"),0)-1,100000,1),MATCH(CLEAN(TABLATRANSFERENCIA[[#This Row],[CODIGO]]),OFFSET(INDIRECT("v_buffer_hist_hoy!$A$1"),1,MATCH("buh_codigo",INDIRECT("v_buffer_hist_hoy!$1:$1"),0)-1,100000,1),0)),"")</f>
        <v>5</v>
      </c>
      <c r="AE19" s="6">
        <f ca="1">IFERROR(INDEX(OFFSET(INDIRECT("v_buffer_hist_hoy!$A$1"),1,MATCH("buh_negociacion",INDIRECT("v_buffer_hist_hoy!$1:$1"),0)-1,100000,1),MATCH(CLEAN(TABLATRANSFERENCIA[[#This Row],[CODIGO]]),OFFSET(INDIRECT("v_buffer_hist_hoy!$A$1"),1,MATCH("buh_codigo",INDIRECT("v_buffer_hist_hoy!$1:$1"),0)-1,100000,1),0)),"")</f>
        <v>0</v>
      </c>
      <c r="AF19" s="6">
        <f ca="1">IFERROR(INDEX(OFFSET(INDIRECT("v_buffer_hist_hoy!$A$1"),1,MATCH("buh_produccion",INDIRECT("v_buffer_hist_hoy!$1:$1"),0)-1,100000,1),MATCH(CLEAN(TABLATRANSFERENCIA[[#This Row],[CODIGO]]),OFFSET(INDIRECT("v_buffer_hist_hoy!$A$1"),1,MATCH("buh_codigo",INDIRECT("v_buffer_hist_hoy!$1:$1"),0)-1,100000,1),0)),"")</f>
        <v>0</v>
      </c>
      <c r="AG19" s="6">
        <f ca="1">IFERROR(INDEX(OFFSET(INDIRECT("v_buffer_hist_hoy!$A$1"),1,MATCH("buh_embarcado",INDIRECT("v_buffer_hist_hoy!$1:$1"),0)-1,100000,1),MATCH(CLEAN(TABLATRANSFERENCIA[[#This Row],[CODIGO]]),OFFSET(INDIRECT("v_buffer_hist_hoy!$A$1"),1,MATCH("buh_codigo",INDIRECT("v_buffer_hist_hoy!$1:$1"),0)-1,100000,1),0)),"")</f>
        <v>0</v>
      </c>
      <c r="AH19" s="6">
        <f ca="1">IFERROR(INDEX(OFFSET(INDIRECT("v_buffer_hist_hoy!$A$1"),1,MATCH("buh_comprometido",INDIRECT("v_buffer_hist_hoy!$1:$1"),0)-1,100000,1),MATCH(CLEAN(TABLATRANSFERENCIA[[#This Row],[CODIGO]]),OFFSET(INDIRECT("v_buffer_hist_hoy!$A$1"),1,MATCH("buh_codigo",INDIRECT("v_buffer_hist_hoy!$1:$1"),0)-1,100000,1),0)),"")</f>
        <v>0</v>
      </c>
      <c r="AI19" s="6">
        <f ca="1">IFERROR(INDEX(OFFSET(INDIRECT("v_buffer_hist_hoy!$A$1"),1,MATCH("buh_backorder",INDIRECT("v_buffer_hist_hoy!$1:$1"),0)-1,100000,1),MATCH(CLEAN(TABLATRANSFERENCIA[[#This Row],[CODIGO]]),OFFSET(INDIRECT("v_buffer_hist_hoy!$A$1"),1,MATCH("buh_codigo",INDIRECT("v_buffer_hist_hoy!$1:$1"),0)-1,100000,1),0)),"")</f>
        <v>0</v>
      </c>
      <c r="AJ19" s="6">
        <f ca="1">IFERROR(INDEX(OFFSET(INDIRECT("v_buffer_hist_hoy!$A$1"),1,MATCH("buh_inventario_proyectado",INDIRECT("v_buffer_hist_hoy!$1:$1"),0)-1,100000,1),MATCH(CLEAN(TABLATRANSFERENCIA[[#This Row],[CODIGO]]),OFFSET(INDIRECT("v_buffer_hist_hoy!$A$1"),1,MATCH("buh_codigo",INDIRECT("v_buffer_hist_hoy!$1:$1"),0)-1,100000,1),0)),"")</f>
        <v>17.37</v>
      </c>
      <c r="AK19" s="4">
        <f ca="1">IFERROR(INDEX(OFFSET(INDIRECT("v_buffer_hist_hoy!$A$1"),1,MATCH("buh_estado_inventario_proyectado",INDIRECT("v_buffer_hist_hoy!$1:$1"),0)-1,100000,1),MATCH(CLEAN(TABLATRANSFERENCIA[[#This Row],[CODIGO]]),OFFSET(INDIRECT("v_buffer_hist_hoy!$A$1"),1,MATCH("buh_codigo",INDIRECT("v_buffer_hist_hoy!$1:$1"),0)-1,100000,1),0)),"")</f>
        <v>0.42</v>
      </c>
      <c r="AL19" s="6" t="str">
        <f ca="1">IFERROR(INDEX(OFFSET(INDIRECT("v_buffer_hist_hoy!$A$1"),1,MATCH("buh_color_inventario_proyectado",INDIRECT("v_buffer_hist_hoy!$1:$1"),0)-1,100000,1),MATCH(CLEAN(TABLATRANSFERENCIA[[#This Row],[CODIGO]]),OFFSET(INDIRECT("v_buffer_hist_hoy!$A$1"),1,MATCH("buh_codigo",INDIRECT("v_buffer_hist_hoy!$1:$1"),0)-1,100000,1),0)),"")</f>
        <v>A</v>
      </c>
      <c r="AM19" s="6">
        <f ca="1">IFERROR(INDEX(OFFSET(INDIRECT("v_buffer_hist_hoy!$A$1"),1,MATCH("buh_pedido_minimo",INDIRECT("v_buffer_hist_hoy!$1:$1"),0)-1,100000,1),MATCH(CLEAN(TABLATRANSFERENCIA[[#This Row],[CODIGO]]),OFFSET(INDIRECT("v_buffer_hist_hoy!$A$1"),1,MATCH("buh_codigo",INDIRECT("v_buffer_hist_hoy!$1:$1"),0)-1,100000,1),0)),"")</f>
        <v>0</v>
      </c>
      <c r="AN19" s="6">
        <f ca="1">IFERROR(INDEX(OFFSET(INDIRECT("v_buffer_hist_hoy!$A$1"),1,MATCH("buh_pedido_minimo_grupo",INDIRECT("v_buffer_hist_hoy!$1:$1"),0)-1,100000,1),MATCH(CLEAN(TABLATRANSFERENCIA[[#This Row],[CODIGO]]),OFFSET(INDIRECT("v_buffer_hist_hoy!$A$1"),1,MATCH("buh_codigo",INDIRECT("v_buffer_hist_hoy!$1:$1"),0)-1,100000,1),0)),"")</f>
        <v>0</v>
      </c>
      <c r="AO19" s="6">
        <f ca="1">IFERROR(INDEX(OFFSET(INDIRECT("v_buffer_hist_hoy!$A$1"),1,MATCH("buh_unidad_empaque",INDIRECT("v_buffer_hist_hoy!$1:$1"),0)-1,100000,1),MATCH(CLEAN(TABLATRANSFERENCIA[[#This Row],[CODIGO]]),OFFSET(INDIRECT("v_buffer_hist_hoy!$A$1"),1,MATCH("buh_codigo",INDIRECT("v_buffer_hist_hoy!$1:$1"),0)-1,100000,1),0)),"")</f>
        <v>0</v>
      </c>
      <c r="AP19" s="6">
        <f ca="1">IFERROR(INDEX(OFFSET(INDIRECT("v_buffer_hist_hoy!$A$1"),1,MATCH("buh_pedido_promedio",INDIRECT("v_buffer_hist_hoy!$1:$1"),0)-1,100000,1),MATCH(CLEAN(TABLATRANSFERENCIA[[#This Row],[CODIGO]]),OFFSET(INDIRECT("v_buffer_hist_hoy!$A$1"),1,MATCH("buh_codigo",INDIRECT("v_buffer_hist_hoy!$1:$1"),0)-1,100000,1),0)),"")</f>
        <v>8</v>
      </c>
      <c r="AQ19" s="6">
        <f ca="1">IFERROR(INDEX(OFFSET(INDIRECT("v_buffer_hist_hoy!$A$1"),1,MATCH("buh_cobertura_buffer",INDIRECT("v_buffer_hist_hoy!$1:$1"),0)-1,100000,1),MATCH(CLEAN(TABLATRANSFERENCIA[[#This Row],[CODIGO]]),OFFSET(INDIRECT("v_buffer_hist_hoy!$A$1"),1,MATCH("buh_codigo",INDIRECT("v_buffer_hist_hoy!$1:$1"),0)-1,100000,1),0)),"")</f>
        <v>0</v>
      </c>
      <c r="AR19" s="6">
        <f ca="1">IFERROR(INDEX(OFFSET(INDIRECT("v_buffer_hist_hoy!$A$1"),1,MATCH("buh_cobertura_inventario_proyectado",INDIRECT("v_buffer_hist_hoy!$1:$1"),0)-1,100000,1),MATCH(CLEAN(TABLATRANSFERENCIA[[#This Row],[CODIGO]]),OFFSET(INDIRECT("v_buffer_hist_hoy!$A$1"),1,MATCH("buh_codigo",INDIRECT("v_buffer_hist_hoy!$1:$1"),0)-1,100000,1),0)),"")</f>
        <v>0</v>
      </c>
      <c r="AS19" s="6">
        <f ca="1">IFERROR(INDEX(OFFSET(INDIRECT("v_buffer_hist_hoy!$A$1"),1,MATCH("buh_cobertura_pedido_minimo",INDIRECT("v_buffer_hist_hoy!$1:$1"),0)-1,100000,1),MATCH(CLEAN(TABLATRANSFERENCIA[[#This Row],[CODIGO]]),OFFSET(INDIRECT("v_buffer_hist_hoy!$A$1"),1,MATCH("buh_codigo",INDIRECT("v_buffer_hist_hoy!$1:$1"),0)-1,100000,1),0)),"")</f>
        <v>0</v>
      </c>
      <c r="AT19" s="6">
        <f ca="1">IFERROR(INDEX(OFFSET(INDIRECT("v_buffer_hist_hoy!$A$1"),1,MATCH("buh_dias_desabastecimiento",INDIRECT("v_buffer_hist_hoy!$1:$1"),0)-1,100000,1),MATCH(CLEAN(TABLATRANSFERENCIA[[#This Row],[CODIGO]]),OFFSET(INDIRECT("v_buffer_hist_hoy!$A$1"),1,MATCH("buh_codigo",INDIRECT("v_buffer_hist_hoy!$1:$1"),0)-1,100000,1),0)),"")</f>
        <v>2</v>
      </c>
      <c r="AU19" s="6">
        <f t="array" ref="AU19">IFERROR(INDEX(Datos_Consumo[CANTIDAD],MATCH(TABLATRANSFERENCIA[[#This Row],[CODIGO]]&amp;TABLATRANSFERENCIA[[#Headers],[Columna1]],Datos_Consumo[CODIGO]&amp;Datos_Consumo[FECHA_FORMATO],0)),0)</f>
        <v>0</v>
      </c>
      <c r="AV19" s="6">
        <f t="array" ref="AV19">IFERROR(INDEX(Datos_Consumo[CANTIDAD],MATCH(TABLATRANSFERENCIA[[#This Row],[CODIGO]]&amp;TABLATRANSFERENCIA[[#Headers],[Columna2]],Datos_Consumo[CODIGO]&amp;Datos_Consumo[FECHA_FORMATO],0)),0)</f>
        <v>0</v>
      </c>
      <c r="AW19" s="6">
        <f t="array" ref="AW19">IFERROR(INDEX(Datos_Consumo[CANTIDAD],MATCH(TABLATRANSFERENCIA[[#This Row],[CODIGO]]&amp;TABLATRANSFERENCIA[[#Headers],[Columna3]],Datos_Consumo[CODIGO]&amp;Datos_Consumo[FECHA_FORMATO],0)),0)</f>
        <v>0</v>
      </c>
      <c r="AX19" s="6">
        <f t="array" ref="AX19">IFERROR(INDEX(Datos_Consumo[CANTIDAD],MATCH(TABLATRANSFERENCIA[[#This Row],[CODIGO]]&amp;TABLATRANSFERENCIA[[#Headers],[Columna4]],Datos_Consumo[CODIGO]&amp;Datos_Consumo[FECHA_FORMATO],0)),0)</f>
        <v>0</v>
      </c>
      <c r="AY19" s="6">
        <f t="array" ref="AY19">IFERROR(INDEX(Datos_Consumo[CANTIDAD],MATCH(TABLATRANSFERENCIA[[#This Row],[CODIGO]]&amp;TABLATRANSFERENCIA[[#Headers],[Columna5]],Datos_Consumo[CODIGO]&amp;Datos_Consumo[FECHA_FORMATO],0)),0)</f>
        <v>0</v>
      </c>
      <c r="AZ19" s="6">
        <f t="array" ref="AZ19">IFERROR(INDEX(Datos_Consumo[CANTIDAD],MATCH(TABLATRANSFERENCIA[[#This Row],[CODIGO]]&amp;TABLATRANSFERENCIA[[#Headers],[Columna6]],Datos_Consumo[CODIGO]&amp;Datos_Consumo[FECHA_FORMATO],0)),0)</f>
        <v>0</v>
      </c>
      <c r="BA19" s="54">
        <f ca="1">IFERROR(INDEX(OFFSET(INDIRECT("v_buffer_hist_hoy!$A$1"),1,MATCH("buh_ultima_transferencia_ini",INDIRECT("v_buffer_hist_hoy!$1:$1"),0)-1,100000,1),MATCH(CLEAN(TABLATRANSFERENCIA[[#This Row],[CODIGO]]),OFFSET(INDIRECT("v_buffer_hist_hoy!$A$1"),1,MATCH("buh_codigo",INDIRECT("v_buffer_hist_hoy!$1:$1"),0)-1,100000,1),0)),"")</f>
        <v>0</v>
      </c>
      <c r="BB19" s="54">
        <f ca="1">IFERROR(INDEX(OFFSET(INDIRECT("v_buffer_hist_hoy!$A$1"),1,MATCH("buh_ultima_transferencia_fin",INDIRECT("v_buffer_hist_hoy!$1:$1"),0)-1,100000,1),MATCH(CLEAN(TABLATRANSFERENCIA[[#This Row],[CODIGO]]),OFFSET(INDIRECT("v_buffer_hist_hoy!$A$1"),1,MATCH("buh_codigo",INDIRECT("v_buffer_hist_hoy!$1:$1"),0)-1,100000,1),0)),"")</f>
        <v>0</v>
      </c>
      <c r="BC19" s="60">
        <v>5</v>
      </c>
      <c r="BD19" s="64">
        <v>5</v>
      </c>
      <c r="BE19" s="51"/>
      <c r="BF19"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G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19" s="51"/>
      <c r="BL19" s="46">
        <f ca="1">IFERROR(TABLATRANSFERENCIA[[#This Row],[REQUERIM]]/TABLATRANSFERENCIA[[#This Row],[PEDIDO PROMEDIO]],0)</f>
        <v>0.625</v>
      </c>
      <c r="BM19" s="68">
        <v>5</v>
      </c>
      <c r="BN19" s="58"/>
      <c r="BO19" s="3">
        <f>IF(TABLATRANSFERENCIA[[#This Row],[RECIBIDO]]&lt;&gt;"",0,IF(TABLATRANSFERENCIA[[#This Row],[DESPACHO]]&lt;&gt;"",TABLATRANSFERENCIA[[#This Row],[DESPACHO]],TABLATRANSFERENCIA[[#This Row],[REQUERIM]]))</f>
        <v>5</v>
      </c>
      <c r="BP19" s="50"/>
      <c r="BQ19" s="50"/>
      <c r="BR19" s="50" t="str">
        <f>"N"</f>
        <v>N</v>
      </c>
      <c r="BS19" s="51">
        <f t="array" aca="1" ref="BS19" ca="1">IF(SUM(--(TABLATRANSFERENCIA[[#This Row],[CODIGO GENERICO]]=TABLATRANSFERENCIA[CODIGO GENERICO])*TABLATRANSFERENCIA[REQUERIM])&lt;TABLATRANSFERENCIA[[#This Row],[PEDIDO MIN GRUPO]],1,0)</f>
        <v>0</v>
      </c>
      <c r="BT1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19" s="51">
        <f ca="1">IFERROR(INDEX(OFFSET(INDIRECT("v_buffer_hist_hoy!$A$1"),1,MATCH("buh_zona_amarilla",INDIRECT("v_buffer_hist_hoy!$1:$1"),0)-1,100000,1),MATCH(CLEAN(TABLATRANSFERENCIA[[#This Row],[CODIGO]]),OFFSET(INDIRECT("v_buffer_hist_hoy!$A$1"),1,MATCH("buh_codigo",INDIRECT("v_buffer_hist_hoy!$1:$1"),0)-1,100000,1),0)),"")</f>
        <v>20</v>
      </c>
      <c r="BV19" s="51">
        <f ca="1">IFERROR(INDEX(OFFSET(INDIRECT("v_buffer_hist_hoy!$A$1"),1,MATCH("buh_zona_roja",INDIRECT("v_buffer_hist_hoy!$1:$1"),0)-1,100000,1),MATCH(CLEAN(TABLATRANSFERENCIA[[#This Row],[CODIGO]]),OFFSET(INDIRECT("v_buffer_hist_hoy!$A$1"),1,MATCH("buh_codigo",INDIRECT("v_buffer_hist_hoy!$1:$1"),0)-1,100000,1),0)),"")</f>
        <v>10</v>
      </c>
    </row>
    <row r="20" spans="1:74" x14ac:dyDescent="0.25">
      <c r="A20" s="59" t="s">
        <v>1271</v>
      </c>
      <c r="B20" s="3" t="str">
        <f ca="1">IFERROR(INDEX(OFFSET(INDIRECT("v_buffer_hist_hoy!$A$1"),1,MATCH("pro_descripcion",INDIRECT("v_buffer_hist_hoy!$1:$1"),0)-1,100000,1),MATCH(CLEAN(TABLATRANSFERENCIA[[#This Row],[CODIGO]]),OFFSET(INDIRECT("v_buffer_hist_hoy!$A$1"),1,MATCH("buh_codigo",INDIRECT("v_buffer_hist_hoy!$1:$1"),0)-1,100000,1),0)),"")</f>
        <v>MYCLOBUTANIL 12.5% EC x 200 LIT</v>
      </c>
      <c r="C20" s="3" t="str">
        <f ca="1">IFERROR(INDEX(OFFSET(INDIRECT("v_buffer_hist_hoy!$A$1"),1,MATCH("buh_codigo_generico",INDIRECT("v_buffer_hist_hoy!$1:$1"),0)-1,100000,1),MATCH(CLEAN(TABLATRANSFERENCIA[[#This Row],[CODIGO]]),OFFSET(INDIRECT("v_buffer_hist_hoy!$A$1"),1,MATCH("buh_codigo",INDIRECT("v_buffer_hist_hoy!$1:$1"),0)-1,100000,1),0)),"")</f>
        <v>0</v>
      </c>
      <c r="D20" s="3" t="str">
        <f ca="1">IFERROR(INDEX(OFFSET(INDIRECT("v_buffer_hist_hoy!$A$1"),1,MATCH("buh_codigo_vinculado",INDIRECT("v_buffer_hist_hoy!$1:$1"),0)-1,100000,1),MATCH(CLEAN(TABLATRANSFERENCIA[[#This Row],[CODIGO]]),OFFSET(INDIRECT("v_buffer_hist_hoy!$A$1"),1,MATCH("buh_codigo",INDIRECT("v_buffer_hist_hoy!$1:$1"),0)-1,100000,1),0)),"")</f>
        <v>MPFUCOMYC-200LIT</v>
      </c>
      <c r="E20" s="3" t="str">
        <f ca="1">IFERROR(INDEX(OFFSET(INDIRECT("v_buffer_hist_hoy!$A$1"),1,MATCH("pro_linea",INDIRECT("v_buffer_hist_hoy!$1:$1"),0)-1,100000,1),MATCH(CLEAN(TABLATRANSFERENCIA[[#This Row],[CODIGO]]),OFFSET(INDIRECT("v_buffer_hist_hoy!$A$1"),1,MATCH("buh_codigo",INDIRECT("v_buffer_hist_hoy!$1:$1"),0)-1,100000,1),0)),"")</f>
        <v>PLAGUICIDAS CONVENCIONALES</v>
      </c>
      <c r="F20" s="3">
        <f ca="1">IFERROR(INDEX(OFFSET(INDIRECT("v_buffer_hist_hoy!$A$1"),1,MATCH("pro_sublinea",INDIRECT("v_buffer_hist_hoy!$1:$1"),0)-1,100000,1),MATCH(CLEAN(TABLATRANSFERENCIA[[#This Row],[CODIGO]]),OFFSET(INDIRECT("v_buffer_hist_hoy!$A$1"),1,MATCH("buh_codigo",INDIRECT("v_buffer_hist_hoy!$1:$1"),0)-1,100000,1),0)),"")</f>
        <v>0</v>
      </c>
      <c r="G20" s="3" t="str">
        <f ca="1">IFERROR(INDEX(OFFSET(INDIRECT("v_buffer_hist_hoy!$A$1"),1,MATCH("pro_grupo",INDIRECT("v_buffer_hist_hoy!$1:$1"),0)-1,100000,1),MATCH(CLEAN(TABLATRANSFERENCIA[[#This Row],[CODIGO]]),OFFSET(INDIRECT("v_buffer_hist_hoy!$A$1"),1,MATCH("buh_codigo",INDIRECT("v_buffer_hist_hoy!$1:$1"),0)-1,100000,1),0)),"")</f>
        <v>MYCLOBUTANIL 12.5% EC</v>
      </c>
      <c r="H20" s="3">
        <f ca="1">IFERROR(INDEX(OFFSET(INDIRECT("v_buffer_hist_hoy!$A$1"),1,MATCH("pro_familia",INDIRECT("v_buffer_hist_hoy!$1:$1"),0)-1,100000,1),MATCH(CLEAN(TABLATRANSFERENCIA[[#This Row],[CODIGO]]),OFFSET(INDIRECT("v_buffer_hist_hoy!$A$1"),1,MATCH("buh_codigo",INDIRECT("v_buffer_hist_hoy!$1:$1"),0)-1,100000,1),0)),"")</f>
        <v>0</v>
      </c>
      <c r="I20" s="3">
        <f ca="1">IFERROR(INDEX(OFFSET(INDIRECT("v_buffer_hist_hoy!$A$1"),1,MATCH("pro_subfamilia",INDIRECT("v_buffer_hist_hoy!$1:$1"),0)-1,100000,1),MATCH(CLEAN(TABLATRANSFERENCIA[[#This Row],[CODIGO]]),OFFSET(INDIRECT("v_buffer_hist_hoy!$A$1"),1,MATCH("buh_codigo",INDIRECT("v_buffer_hist_hoy!$1:$1"),0)-1,100000,1),0)),"")</f>
        <v>0</v>
      </c>
      <c r="J20" s="3" t="str">
        <f ca="1">IFERROR(INDEX(OFFSET(INDIRECT("v_buffer_hist_hoy!$A$1"),1,MATCH("pro_categoria",INDIRECT("v_buffer_hist_hoy!$1:$1"),0)-1,100000,1),MATCH(CLEAN(TABLATRANSFERENCIA[[#This Row],[CODIGO]]),OFFSET(INDIRECT("v_buffer_hist_hoy!$A$1"),1,MATCH("buh_codigo",INDIRECT("v_buffer_hist_hoy!$1:$1"),0)-1,100000,1),0)),"")</f>
        <v>FUNGICIDA</v>
      </c>
      <c r="K20" s="3">
        <f ca="1">IFERROR(INDEX(OFFSET(INDIRECT("v_buffer_hist_hoy!$A$1"),1,MATCH("pro_tipo",INDIRECT("v_buffer_hist_hoy!$1:$1"),0)-1,100000,1),MATCH(CLEAN(TABLATRANSFERENCIA[[#This Row],[CODIGO]]),OFFSET(INDIRECT("v_buffer_hist_hoy!$A$1"),1,MATCH("buh_codigo",INDIRECT("v_buffer_hist_hoy!$1:$1"),0)-1,100000,1),0)),"")</f>
        <v>0</v>
      </c>
      <c r="L20" s="3" t="str">
        <f ca="1">IFERROR(INDEX(OFFSET(INDIRECT("v_buffer_hist_hoy!$A$1"),1,MATCH("pro_marca",INDIRECT("v_buffer_hist_hoy!$1:$1"),0)-1,100000,1),MATCH(CLEAN(TABLATRANSFERENCIA[[#This Row],[CODIGO]]),OFFSET(INDIRECT("v_buffer_hist_hoy!$A$1"),1,MATCH("buh_codigo",INDIRECT("v_buffer_hist_hoy!$1:$1"),0)-1,100000,1),0)),"")</f>
        <v>SINOCHEM</v>
      </c>
      <c r="M20" s="3">
        <f ca="1">IFERROR(INDEX(OFFSET(INDIRECT("v_buffer_hist_hoy!$A$1"),1,MATCH("pro_modelo",INDIRECT("v_buffer_hist_hoy!$1:$1"),0)-1,100000,1),MATCH(CLEAN(TABLATRANSFERENCIA[[#This Row],[CODIGO]]),OFFSET(INDIRECT("v_buffer_hist_hoy!$A$1"),1,MATCH("buh_codigo",INDIRECT("v_buffer_hist_hoy!$1:$1"),0)-1,100000,1),0)),"")</f>
        <v>0</v>
      </c>
      <c r="N20" s="3">
        <f ca="1">IFERROR(INDEX(OFFSET(INDIRECT("v_buffer_hist_hoy!$A$1"),1,MATCH("pro_cat_management",INDIRECT("v_buffer_hist_hoy!$1:$1"),0)-1,100000,1),MATCH(CLEAN(TABLATRANSFERENCIA[[#This Row],[CODIGO]]),OFFSET(INDIRECT("v_buffer_hist_hoy!$A$1"),1,MATCH("buh_codigo",INDIRECT("v_buffer_hist_hoy!$1:$1"),0)-1,100000,1),0)),"")</f>
        <v>0</v>
      </c>
      <c r="O20" s="5" t="str">
        <f ca="1">IFERROR(INDEX(OFFSET(INDIRECT("v_buffer_hist_hoy!$A$1"),1,MATCH("buh_estatus",INDIRECT("v_buffer_hist_hoy!$1:$1"),0)-1,100000,1),MATCH(CLEAN(TABLATRANSFERENCIA[[#This Row],[CODIGO]]),OFFSET(INDIRECT("v_buffer_hist_hoy!$A$1"),1,MATCH("buh_codigo",INDIRECT("v_buffer_hist_hoy!$1:$1"),0)-1,100000,1),0)),"")</f>
        <v>0</v>
      </c>
      <c r="P20" s="5">
        <f ca="1">IFERROR(INDEX(OFFSET(INDIRECT("v_buffer_hist_hoy!$A$1"),1,MATCH("buh_ctv",INDIRECT("v_buffer_hist_hoy!$1:$1"),0)-1,100000,1),MATCH(CLEAN(TABLATRANSFERENCIA[[#This Row],[CODIGO]]),OFFSET(INDIRECT("v_buffer_hist_hoy!$A$1"),1,MATCH("buh_codigo",INDIRECT("v_buffer_hist_hoy!$1:$1"),0)-1,100000,1),0)),"")</f>
        <v>2576.81</v>
      </c>
      <c r="Q20" s="5">
        <f ca="1">IFERROR(INDEX(OFFSET(INDIRECT("v_buffer_hist_hoy!$A$1"),1,MATCH("buh_pv",INDIRECT("v_buffer_hist_hoy!$1:$1"),0)-1,100000,1),MATCH(CLEAN(TABLATRANSFERENCIA[[#This Row],[CODIGO]]),OFFSET(INDIRECT("v_buffer_hist_hoy!$A$1"),1,MATCH("buh_codigo",INDIRECT("v_buffer_hist_hoy!$1:$1"),0)-1,100000,1),0)),"")</f>
        <v>0</v>
      </c>
      <c r="R20" s="46">
        <f ca="1">IFERROR(INDEX(OFFSET(INDIRECT("v_buffer_hist_hoy!$A$1"),1,MATCH("buh_roi_pasado",INDIRECT("v_buffer_hist_hoy!$1:$1"),0)-1,100000,1),MATCH(CLEAN(TABLATRANSFERENCIA[[#This Row],[CODIGO]]),OFFSET(INDIRECT("v_buffer_hist_hoy!$A$1"),1,MATCH("buh_codigo",INDIRECT("v_buffer_hist_hoy!$1:$1"),0)-1,100000,1),0)),"")</f>
        <v>0</v>
      </c>
      <c r="S20" s="46">
        <f ca="1">IFERROR(INDEX(OFFSET(INDIRECT("v_buffer_hist_hoy!$A$1"),1,MATCH("buh_roi_proyectado",INDIRECT("v_buffer_hist_hoy!$1:$1"),0)-1,100000,1),MATCH(CLEAN(TABLATRANSFERENCIA[[#This Row],[CODIGO]]),OFFSET(INDIRECT("v_buffer_hist_hoy!$A$1"),1,MATCH("buh_codigo",INDIRECT("v_buffer_hist_hoy!$1:$1"),0)-1,100000,1),0)),"")</f>
        <v>-3</v>
      </c>
      <c r="T20" s="46">
        <f ca="1">IFERROR(INDEX(OFFSET(INDIRECT("v_buffer_hist_hoy!$A$1"),1,MATCH("buh_velocity",INDIRECT("v_buffer_hist_hoy!$1:$1"),0)-1,100000,1),MATCH(CLEAN(TABLATRANSFERENCIA[[#This Row],[CODIGO]]),OFFSET(INDIRECT("v_buffer_hist_hoy!$A$1"),1,MATCH("buh_codigo",INDIRECT("v_buffer_hist_hoy!$1:$1"),0)-1,100000,1),0)),"")</f>
        <v>0</v>
      </c>
      <c r="U20" s="46">
        <f ca="1">IFERROR(INDEX(OFFSET(INDIRECT("v_buffer_hist_hoy!$A$1"),1,MATCH("buh_nivel_servicio",INDIRECT("v_buffer_hist_hoy!$1:$1"),0)-1,100000,1),MATCH(CLEAN(TABLATRANSFERENCIA[[#This Row],[CODIGO]]),OFFSET(INDIRECT("v_buffer_hist_hoy!$A$1"),1,MATCH("buh_codigo",INDIRECT("v_buffer_hist_hoy!$1:$1"),0)-1,100000,1),0)),"")</f>
        <v>1</v>
      </c>
      <c r="V20" s="49" t="str">
        <f ca="1">IFERROR(INDEX(OFFSET(INDIRECT("v_buffer_hist_hoy!$A$1"),1,MATCH("pro_nombre",INDIRECT("v_buffer_hist_hoy!$1:$1"),0)-1,100000,1),MATCH(CLEAN(TABLATRANSFERENCIA[[#This Row],[CODIGO]]),OFFSET(INDIRECT("v_buffer_hist_hoy!$A$1"),1,MATCH("buh_codigo",INDIRECT("v_buffer_hist_hoy!$1:$1"),0)-1,100000,1),0)),"")</f>
        <v>Sinochem</v>
      </c>
      <c r="W20" s="49" t="str">
        <f ca="1">IFERROR(INDEX(OFFSET(INDIRECT("v_buffer_hist_hoy!$A$1"),1,MATCH("pre_nombre",INDIRECT("v_buffer_hist_hoy!$1:$1"),0)-1,100000,1),MATCH(CLEAN(TABLATRANSFERENCIA[[#This Row],[CODIGO]]),OFFSET(INDIRECT("v_buffer_hist_hoy!$A$1"),1,MATCH("buh_codigo",INDIRECT("v_buffer_hist_hoy!$1:$1"),0)-1,100000,1),0)),"")</f>
        <v>CHINA</v>
      </c>
      <c r="X20" s="51">
        <f ca="1">IFERROR(INDEX(OFFSET(INDIRECT("v_buffer_hist_hoy!$A$1"),1,MATCH("buh_tiempo_suministro",INDIRECT("v_buffer_hist_hoy!$1:$1"),0)-1,100000,1),MATCH(CLEAN(TABLATRANSFERENCIA[[#This Row],[CODIGO]]),OFFSET(INDIRECT("v_buffer_hist_hoy!$A$1"),1,MATCH("buh_codigo",INDIRECT("v_buffer_hist_hoy!$1:$1"),0)-1,100000,1),0)),"")</f>
        <v>12</v>
      </c>
      <c r="Y20" s="51">
        <f ca="1">IFERROR(INDEX(OFFSET(INDIRECT("v_buffer_hist_hoy!$A$1"),1,MATCH("buh_frecuencia_reposicion",INDIRECT("v_buffer_hist_hoy!$1:$1"),0)-1,100000,1),MATCH(CLEAN(TABLATRANSFERENCIA[[#This Row],[CODIGO]]),OFFSET(INDIRECT("v_buffer_hist_hoy!$A$1"),1,MATCH("buh_codigo",INDIRECT("v_buffer_hist_hoy!$1:$1"),0)-1,100000,1),0)),"")</f>
        <v>4</v>
      </c>
      <c r="Z20" s="6">
        <f ca="1">IFERROR(INDEX(OFFSET(INDIRECT("v_buffer_hist_hoy!$A$1"),1,MATCH("buh_buffer_actual",INDIRECT("v_buffer_hist_hoy!$1:$1"),0)-1,100000,1),MATCH(CLEAN(TABLATRANSFERENCIA[[#This Row],[CODIGO]]),OFFSET(INDIRECT("v_buffer_hist_hoy!$A$1"),1,MATCH("buh_codigo",INDIRECT("v_buffer_hist_hoy!$1:$1"),0)-1,100000,1),0)),"")</f>
        <v>15</v>
      </c>
      <c r="AA20" s="6">
        <f ca="1">IFERROR(INDEX(OFFSET(INDIRECT("v_buffer_hist_hoy!$A$1"),1,MATCH("buh_inventario_fisico",INDIRECT("v_buffer_hist_hoy!$1:$1"),0)-1,100000,1),MATCH(CLEAN(TABLATRANSFERENCIA[[#This Row],[CODIGO]]),OFFSET(INDIRECT("v_buffer_hist_hoy!$A$1"),1,MATCH("buh_codigo",INDIRECT("v_buffer_hist_hoy!$1:$1"),0)-1,100000,1),0)),"")</f>
        <v>0</v>
      </c>
      <c r="AB20" s="4">
        <f ca="1">IFERROR(INDEX(OFFSET(INDIRECT("v_buffer_hist_hoy!$A$1"),1,MATCH("buh_estado_inventario_fisico",INDIRECT("v_buffer_hist_hoy!$1:$1"),0)-1,100000,1),MATCH(CLEAN(TABLATRANSFERENCIA[[#This Row],[CODIGO]]),OFFSET(INDIRECT("v_buffer_hist_hoy!$A$1"),1,MATCH("buh_codigo",INDIRECT("v_buffer_hist_hoy!$1:$1"),0)-1,100000,1),0)),"")</f>
        <v>1</v>
      </c>
      <c r="AC20" s="6" t="str">
        <f ca="1">IFERROR(INDEX(OFFSET(INDIRECT("v_buffer_hist_hoy!$A$1"),1,MATCH("buh_color_inventario_fisico",INDIRECT("v_buffer_hist_hoy!$1:$1"),0)-1,100000,1),MATCH(CLEAN(TABLATRANSFERENCIA[[#This Row],[CODIGO]]),OFFSET(INDIRECT("v_buffer_hist_hoy!$A$1"),1,MATCH("buh_codigo",INDIRECT("v_buffer_hist_hoy!$1:$1"),0)-1,100000,1),0)),"")</f>
        <v>N</v>
      </c>
      <c r="AD20" s="6">
        <f ca="1">IFERROR(INDEX(OFFSET(INDIRECT("v_buffer_hist_hoy!$A$1"),1,MATCH("buh_transito",INDIRECT("v_buffer_hist_hoy!$1:$1"),0)-1,100000,1),MATCH(CLEAN(TABLATRANSFERENCIA[[#This Row],[CODIGO]]),OFFSET(INDIRECT("v_buffer_hist_hoy!$A$1"),1,MATCH("buh_codigo",INDIRECT("v_buffer_hist_hoy!$1:$1"),0)-1,100000,1),0)),"")</f>
        <v>8</v>
      </c>
      <c r="AE20" s="6">
        <f ca="1">IFERROR(INDEX(OFFSET(INDIRECT("v_buffer_hist_hoy!$A$1"),1,MATCH("buh_negociacion",INDIRECT("v_buffer_hist_hoy!$1:$1"),0)-1,100000,1),MATCH(CLEAN(TABLATRANSFERENCIA[[#This Row],[CODIGO]]),OFFSET(INDIRECT("v_buffer_hist_hoy!$A$1"),1,MATCH("buh_codigo",INDIRECT("v_buffer_hist_hoy!$1:$1"),0)-1,100000,1),0)),"")</f>
        <v>0</v>
      </c>
      <c r="AF20" s="6">
        <f ca="1">IFERROR(INDEX(OFFSET(INDIRECT("v_buffer_hist_hoy!$A$1"),1,MATCH("buh_produccion",INDIRECT("v_buffer_hist_hoy!$1:$1"),0)-1,100000,1),MATCH(CLEAN(TABLATRANSFERENCIA[[#This Row],[CODIGO]]),OFFSET(INDIRECT("v_buffer_hist_hoy!$A$1"),1,MATCH("buh_codigo",INDIRECT("v_buffer_hist_hoy!$1:$1"),0)-1,100000,1),0)),"")</f>
        <v>0</v>
      </c>
      <c r="AG20" s="6">
        <f ca="1">IFERROR(INDEX(OFFSET(INDIRECT("v_buffer_hist_hoy!$A$1"),1,MATCH("buh_embarcado",INDIRECT("v_buffer_hist_hoy!$1:$1"),0)-1,100000,1),MATCH(CLEAN(TABLATRANSFERENCIA[[#This Row],[CODIGO]]),OFFSET(INDIRECT("v_buffer_hist_hoy!$A$1"),1,MATCH("buh_codigo",INDIRECT("v_buffer_hist_hoy!$1:$1"),0)-1,100000,1),0)),"")</f>
        <v>0</v>
      </c>
      <c r="AH20" s="6">
        <f ca="1">IFERROR(INDEX(OFFSET(INDIRECT("v_buffer_hist_hoy!$A$1"),1,MATCH("buh_comprometido",INDIRECT("v_buffer_hist_hoy!$1:$1"),0)-1,100000,1),MATCH(CLEAN(TABLATRANSFERENCIA[[#This Row],[CODIGO]]),OFFSET(INDIRECT("v_buffer_hist_hoy!$A$1"),1,MATCH("buh_codigo",INDIRECT("v_buffer_hist_hoy!$1:$1"),0)-1,100000,1),0)),"")</f>
        <v>0</v>
      </c>
      <c r="AI20" s="6">
        <f ca="1">IFERROR(INDEX(OFFSET(INDIRECT("v_buffer_hist_hoy!$A$1"),1,MATCH("buh_backorder",INDIRECT("v_buffer_hist_hoy!$1:$1"),0)-1,100000,1),MATCH(CLEAN(TABLATRANSFERENCIA[[#This Row],[CODIGO]]),OFFSET(INDIRECT("v_buffer_hist_hoy!$A$1"),1,MATCH("buh_codigo",INDIRECT("v_buffer_hist_hoy!$1:$1"),0)-1,100000,1),0)),"")</f>
        <v>0</v>
      </c>
      <c r="AJ20" s="6">
        <f ca="1">IFERROR(INDEX(OFFSET(INDIRECT("v_buffer_hist_hoy!$A$1"),1,MATCH("buh_inventario_proyectado",INDIRECT("v_buffer_hist_hoy!$1:$1"),0)-1,100000,1),MATCH(CLEAN(TABLATRANSFERENCIA[[#This Row],[CODIGO]]),OFFSET(INDIRECT("v_buffer_hist_hoy!$A$1"),1,MATCH("buh_codigo",INDIRECT("v_buffer_hist_hoy!$1:$1"),0)-1,100000,1),0)),"")</f>
        <v>8</v>
      </c>
      <c r="AK20" s="4">
        <f ca="1">IFERROR(INDEX(OFFSET(INDIRECT("v_buffer_hist_hoy!$A$1"),1,MATCH("buh_estado_inventario_proyectado",INDIRECT("v_buffer_hist_hoy!$1:$1"),0)-1,100000,1),MATCH(CLEAN(TABLATRANSFERENCIA[[#This Row],[CODIGO]]),OFFSET(INDIRECT("v_buffer_hist_hoy!$A$1"),1,MATCH("buh_codigo",INDIRECT("v_buffer_hist_hoy!$1:$1"),0)-1,100000,1),0)),"")</f>
        <v>0.47</v>
      </c>
      <c r="AL20" s="6" t="str">
        <f ca="1">IFERROR(INDEX(OFFSET(INDIRECT("v_buffer_hist_hoy!$A$1"),1,MATCH("buh_color_inventario_proyectado",INDIRECT("v_buffer_hist_hoy!$1:$1"),0)-1,100000,1),MATCH(CLEAN(TABLATRANSFERENCIA[[#This Row],[CODIGO]]),OFFSET(INDIRECT("v_buffer_hist_hoy!$A$1"),1,MATCH("buh_codigo",INDIRECT("v_buffer_hist_hoy!$1:$1"),0)-1,100000,1),0)),"")</f>
        <v>A</v>
      </c>
      <c r="AM20" s="6">
        <f ca="1">IFERROR(INDEX(OFFSET(INDIRECT("v_buffer_hist_hoy!$A$1"),1,MATCH("buh_pedido_minimo",INDIRECT("v_buffer_hist_hoy!$1:$1"),0)-1,100000,1),MATCH(CLEAN(TABLATRANSFERENCIA[[#This Row],[CODIGO]]),OFFSET(INDIRECT("v_buffer_hist_hoy!$A$1"),1,MATCH("buh_codigo",INDIRECT("v_buffer_hist_hoy!$1:$1"),0)-1,100000,1),0)),"")</f>
        <v>0</v>
      </c>
      <c r="AN20" s="6">
        <f ca="1">IFERROR(INDEX(OFFSET(INDIRECT("v_buffer_hist_hoy!$A$1"),1,MATCH("buh_pedido_minimo_grupo",INDIRECT("v_buffer_hist_hoy!$1:$1"),0)-1,100000,1),MATCH(CLEAN(TABLATRANSFERENCIA[[#This Row],[CODIGO]]),OFFSET(INDIRECT("v_buffer_hist_hoy!$A$1"),1,MATCH("buh_codigo",INDIRECT("v_buffer_hist_hoy!$1:$1"),0)-1,100000,1),0)),"")</f>
        <v>0</v>
      </c>
      <c r="AO20" s="6">
        <f ca="1">IFERROR(INDEX(OFFSET(INDIRECT("v_buffer_hist_hoy!$A$1"),1,MATCH("buh_unidad_empaque",INDIRECT("v_buffer_hist_hoy!$1:$1"),0)-1,100000,1),MATCH(CLEAN(TABLATRANSFERENCIA[[#This Row],[CODIGO]]),OFFSET(INDIRECT("v_buffer_hist_hoy!$A$1"),1,MATCH("buh_codigo",INDIRECT("v_buffer_hist_hoy!$1:$1"),0)-1,100000,1),0)),"")</f>
        <v>0</v>
      </c>
      <c r="AP20" s="6">
        <f ca="1">IFERROR(INDEX(OFFSET(INDIRECT("v_buffer_hist_hoy!$A$1"),1,MATCH("buh_pedido_promedio",INDIRECT("v_buffer_hist_hoy!$1:$1"),0)-1,100000,1),MATCH(CLEAN(TABLATRANSFERENCIA[[#This Row],[CODIGO]]),OFFSET(INDIRECT("v_buffer_hist_hoy!$A$1"),1,MATCH("buh_codigo",INDIRECT("v_buffer_hist_hoy!$1:$1"),0)-1,100000,1),0)),"")</f>
        <v>4</v>
      </c>
      <c r="AQ20" s="6">
        <f ca="1">IFERROR(INDEX(OFFSET(INDIRECT("v_buffer_hist_hoy!$A$1"),1,MATCH("buh_cobertura_buffer",INDIRECT("v_buffer_hist_hoy!$1:$1"),0)-1,100000,1),MATCH(CLEAN(TABLATRANSFERENCIA[[#This Row],[CODIGO]]),OFFSET(INDIRECT("v_buffer_hist_hoy!$A$1"),1,MATCH("buh_codigo",INDIRECT("v_buffer_hist_hoy!$1:$1"),0)-1,100000,1),0)),"")</f>
        <v>0</v>
      </c>
      <c r="AR20" s="6">
        <f ca="1">IFERROR(INDEX(OFFSET(INDIRECT("v_buffer_hist_hoy!$A$1"),1,MATCH("buh_cobertura_inventario_proyectado",INDIRECT("v_buffer_hist_hoy!$1:$1"),0)-1,100000,1),MATCH(CLEAN(TABLATRANSFERENCIA[[#This Row],[CODIGO]]),OFFSET(INDIRECT("v_buffer_hist_hoy!$A$1"),1,MATCH("buh_codigo",INDIRECT("v_buffer_hist_hoy!$1:$1"),0)-1,100000,1),0)),"")</f>
        <v>0</v>
      </c>
      <c r="AS20" s="6">
        <f ca="1">IFERROR(INDEX(OFFSET(INDIRECT("v_buffer_hist_hoy!$A$1"),1,MATCH("buh_cobertura_pedido_minimo",INDIRECT("v_buffer_hist_hoy!$1:$1"),0)-1,100000,1),MATCH(CLEAN(TABLATRANSFERENCIA[[#This Row],[CODIGO]]),OFFSET(INDIRECT("v_buffer_hist_hoy!$A$1"),1,MATCH("buh_codigo",INDIRECT("v_buffer_hist_hoy!$1:$1"),0)-1,100000,1),0)),"")</f>
        <v>0</v>
      </c>
      <c r="AT20" s="6">
        <f ca="1">IFERROR(INDEX(OFFSET(INDIRECT("v_buffer_hist_hoy!$A$1"),1,MATCH("buh_dias_desabastecimiento",INDIRECT("v_buffer_hist_hoy!$1:$1"),0)-1,100000,1),MATCH(CLEAN(TABLATRANSFERENCIA[[#This Row],[CODIGO]]),OFFSET(INDIRECT("v_buffer_hist_hoy!$A$1"),1,MATCH("buh_codigo",INDIRECT("v_buffer_hist_hoy!$1:$1"),0)-1,100000,1),0)),"")</f>
        <v>7</v>
      </c>
      <c r="AU20" s="6">
        <f t="array" ref="AU20">IFERROR(INDEX(Datos_Consumo[CANTIDAD],MATCH(TABLATRANSFERENCIA[[#This Row],[CODIGO]]&amp;TABLATRANSFERENCIA[[#Headers],[Columna1]],Datos_Consumo[CODIGO]&amp;Datos_Consumo[FECHA_FORMATO],0)),0)</f>
        <v>0</v>
      </c>
      <c r="AV20" s="6">
        <f t="array" ref="AV20">IFERROR(INDEX(Datos_Consumo[CANTIDAD],MATCH(TABLATRANSFERENCIA[[#This Row],[CODIGO]]&amp;TABLATRANSFERENCIA[[#Headers],[Columna2]],Datos_Consumo[CODIGO]&amp;Datos_Consumo[FECHA_FORMATO],0)),0)</f>
        <v>0</v>
      </c>
      <c r="AW20" s="6">
        <f t="array" ref="AW20">IFERROR(INDEX(Datos_Consumo[CANTIDAD],MATCH(TABLATRANSFERENCIA[[#This Row],[CODIGO]]&amp;TABLATRANSFERENCIA[[#Headers],[Columna3]],Datos_Consumo[CODIGO]&amp;Datos_Consumo[FECHA_FORMATO],0)),0)</f>
        <v>0</v>
      </c>
      <c r="AX20" s="6">
        <f t="array" ref="AX20">IFERROR(INDEX(Datos_Consumo[CANTIDAD],MATCH(TABLATRANSFERENCIA[[#This Row],[CODIGO]]&amp;TABLATRANSFERENCIA[[#Headers],[Columna4]],Datos_Consumo[CODIGO]&amp;Datos_Consumo[FECHA_FORMATO],0)),0)</f>
        <v>0</v>
      </c>
      <c r="AY20" s="6">
        <f t="array" ref="AY20">IFERROR(INDEX(Datos_Consumo[CANTIDAD],MATCH(TABLATRANSFERENCIA[[#This Row],[CODIGO]]&amp;TABLATRANSFERENCIA[[#Headers],[Columna5]],Datos_Consumo[CODIGO]&amp;Datos_Consumo[FECHA_FORMATO],0)),0)</f>
        <v>0</v>
      </c>
      <c r="AZ20" s="6">
        <f t="array" ref="AZ20">IFERROR(INDEX(Datos_Consumo[CANTIDAD],MATCH(TABLATRANSFERENCIA[[#This Row],[CODIGO]]&amp;TABLATRANSFERENCIA[[#Headers],[Columna6]],Datos_Consumo[CODIGO]&amp;Datos_Consumo[FECHA_FORMATO],0)),0)</f>
        <v>0</v>
      </c>
      <c r="BA20" s="54">
        <f ca="1">IFERROR(INDEX(OFFSET(INDIRECT("v_buffer_hist_hoy!$A$1"),1,MATCH("buh_ultima_transferencia_ini",INDIRECT("v_buffer_hist_hoy!$1:$1"),0)-1,100000,1),MATCH(CLEAN(TABLATRANSFERENCIA[[#This Row],[CODIGO]]),OFFSET(INDIRECT("v_buffer_hist_hoy!$A$1"),1,MATCH("buh_codigo",INDIRECT("v_buffer_hist_hoy!$1:$1"),0)-1,100000,1),0)),"")</f>
        <v>0</v>
      </c>
      <c r="BB20" s="54">
        <f ca="1">IFERROR(INDEX(OFFSET(INDIRECT("v_buffer_hist_hoy!$A$1"),1,MATCH("buh_ultima_transferencia_fin",INDIRECT("v_buffer_hist_hoy!$1:$1"),0)-1,100000,1),MATCH(CLEAN(TABLATRANSFERENCIA[[#This Row],[CODIGO]]),OFFSET(INDIRECT("v_buffer_hist_hoy!$A$1"),1,MATCH("buh_codigo",INDIRECT("v_buffer_hist_hoy!$1:$1"),0)-1,100000,1),0)),"")</f>
        <v>0</v>
      </c>
      <c r="BC20" s="60">
        <v>5</v>
      </c>
      <c r="BD20" s="64">
        <v>5</v>
      </c>
      <c r="BE20" s="51"/>
      <c r="BF20" s="51">
        <f>IF(RIGHT(TABLATRANSFERENCIA[[#Headers],[Emb1]],1)*1&lt;=TABLATRANSFERENCIA[[#This Row],[EMBARQUES]],IF(ISBLANK(TABLATRANSFERENCIA[[#This Row],[EMBARQUES]]),TABLATRANSFERENCIA[[#This Row],[REQUERIM]],ROUND(TABLATRANSFERENCIA[[#This Row],[REQUERIM]]/TABLATRANSFERENCIA[[#This Row],[EMBARQUES]],0)),TABLATRANSFERENCIA[[#This Row],[REQUERIM]])</f>
        <v>5</v>
      </c>
      <c r="BG2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2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2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2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20" s="51"/>
      <c r="BL20" s="46">
        <f ca="1">IFERROR(TABLATRANSFERENCIA[[#This Row],[REQUERIM]]/TABLATRANSFERENCIA[[#This Row],[PEDIDO PROMEDIO]],0)</f>
        <v>1.25</v>
      </c>
      <c r="BM20" s="68">
        <v>5</v>
      </c>
      <c r="BN20" s="58"/>
      <c r="BO20" s="3">
        <f>IF(TABLATRANSFERENCIA[[#This Row],[RECIBIDO]]&lt;&gt;"",0,IF(TABLATRANSFERENCIA[[#This Row],[DESPACHO]]&lt;&gt;"",TABLATRANSFERENCIA[[#This Row],[DESPACHO]],TABLATRANSFERENCIA[[#This Row],[REQUERIM]]))</f>
        <v>5</v>
      </c>
      <c r="BP20" s="50"/>
      <c r="BQ20" s="50"/>
      <c r="BR20" s="50" t="str">
        <f>"N"</f>
        <v>N</v>
      </c>
      <c r="BS20" s="51">
        <f t="array" aca="1" ref="BS20" ca="1">IF(SUM(--(TABLATRANSFERENCIA[[#This Row],[CODIGO GENERICO]]=TABLATRANSFERENCIA[CODIGO GENERICO])*TABLATRANSFERENCIA[REQUERIM])&lt;TABLATRANSFERENCIA[[#This Row],[PEDIDO MIN GRUPO]],1,0)</f>
        <v>0</v>
      </c>
      <c r="BT2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U20" s="51">
        <f ca="1">IFERROR(INDEX(OFFSET(INDIRECT("v_buffer_hist_hoy!$A$1"),1,MATCH("buh_zona_amarilla",INDIRECT("v_buffer_hist_hoy!$1:$1"),0)-1,100000,1),MATCH(CLEAN(TABLATRANSFERENCIA[[#This Row],[CODIGO]]),OFFSET(INDIRECT("v_buffer_hist_hoy!$A$1"),1,MATCH("buh_codigo",INDIRECT("v_buffer_hist_hoy!$1:$1"),0)-1,100000,1),0)),"")</f>
        <v>10</v>
      </c>
      <c r="BV20" s="51">
        <f ca="1">IFERROR(INDEX(OFFSET(INDIRECT("v_buffer_hist_hoy!$A$1"),1,MATCH("buh_zona_roja",INDIRECT("v_buffer_hist_hoy!$1:$1"),0)-1,100000,1),MATCH(CLEAN(TABLATRANSFERENCIA[[#This Row],[CODIGO]]),OFFSET(INDIRECT("v_buffer_hist_hoy!$A$1"),1,MATCH("buh_codigo",INDIRECT("v_buffer_hist_hoy!$1:$1"),0)-1,100000,1),0)),"")</f>
        <v>5</v>
      </c>
    </row>
    <row r="21" spans="1:74" x14ac:dyDescent="0.25">
      <c r="A21" s="59" t="s">
        <v>1517</v>
      </c>
      <c r="B21" s="3" t="str">
        <f ca="1">IFERROR(INDEX(OFFSET(INDIRECT("v_buffer_hist_hoy!$A$1"),1,MATCH("pro_descripcion",INDIRECT("v_buffer_hist_hoy!$1:$1"),0)-1,100000,1),MATCH(CLEAN(TABLATRANSFERENCIA[[#This Row],[CODIGO]]),OFFSET(INDIRECT("v_buffer_hist_hoy!$A$1"),1,MATCH("buh_codigo",INDIRECT("v_buffer_hist_hoy!$1:$1"),0)-1,100000,1),0)),"")</f>
        <v>IMIDACLOPRID 42%+LAMBDA-CYHALOTHRIN 6%WP X 25KIL</v>
      </c>
      <c r="C21" s="3" t="str">
        <f ca="1">IFERROR(INDEX(OFFSET(INDIRECT("v_buffer_hist_hoy!$A$1"),1,MATCH("buh_codigo_generico",INDIRECT("v_buffer_hist_hoy!$1:$1"),0)-1,100000,1),MATCH(CLEAN(TABLATRANSFERENCIA[[#This Row],[CODIGO]]),OFFSET(INDIRECT("v_buffer_hist_hoy!$A$1"),1,MATCH("buh_codigo",INDIRECT("v_buffer_hist_hoy!$1:$1"),0)-1,100000,1),0)),"")</f>
        <v>0</v>
      </c>
      <c r="D21" s="3" t="str">
        <f ca="1">IFERROR(INDEX(OFFSET(INDIRECT("v_buffer_hist_hoy!$A$1"),1,MATCH("buh_codigo_vinculado",INDIRECT("v_buffer_hist_hoy!$1:$1"),0)-1,100000,1),MATCH(CLEAN(TABLATRANSFERENCIA[[#This Row],[CODIGO]]),OFFSET(INDIRECT("v_buffer_hist_hoy!$A$1"),1,MATCH("buh_codigo",INDIRECT("v_buffer_hist_hoy!$1:$1"),0)-1,100000,1),0)),"")</f>
        <v>MPPLINIM+LAM-25KIL</v>
      </c>
      <c r="E21" s="3" t="str">
        <f ca="1">IFERROR(INDEX(OFFSET(INDIRECT("v_buffer_hist_hoy!$A$1"),1,MATCH("pro_linea",INDIRECT("v_buffer_hist_hoy!$1:$1"),0)-1,100000,1),MATCH(CLEAN(TABLATRANSFERENCIA[[#This Row],[CODIGO]]),OFFSET(INDIRECT("v_buffer_hist_hoy!$A$1"),1,MATCH("buh_codigo",INDIRECT("v_buffer_hist_hoy!$1:$1"),0)-1,100000,1),0)),"")</f>
        <v>PLAGUICIDAS CONVENCIONALES</v>
      </c>
      <c r="F21" s="3">
        <f ca="1">IFERROR(INDEX(OFFSET(INDIRECT("v_buffer_hist_hoy!$A$1"),1,MATCH("pro_sublinea",INDIRECT("v_buffer_hist_hoy!$1:$1"),0)-1,100000,1),MATCH(CLEAN(TABLATRANSFERENCIA[[#This Row],[CODIGO]]),OFFSET(INDIRECT("v_buffer_hist_hoy!$A$1"),1,MATCH("buh_codigo",INDIRECT("v_buffer_hist_hoy!$1:$1"),0)-1,100000,1),0)),"")</f>
        <v>0</v>
      </c>
      <c r="G21" s="3" t="str">
        <f ca="1">IFERROR(INDEX(OFFSET(INDIRECT("v_buffer_hist_hoy!$A$1"),1,MATCH("pro_grupo",INDIRECT("v_buffer_hist_hoy!$1:$1"),0)-1,100000,1),MATCH(CLEAN(TABLATRANSFERENCIA[[#This Row],[CODIGO]]),OFFSET(INDIRECT("v_buffer_hist_hoy!$A$1"),1,MATCH("buh_codigo",INDIRECT("v_buffer_hist_hoy!$1:$1"),0)-1,100000,1),0)),"")</f>
        <v>IMIDACLOPRID 25% WP</v>
      </c>
      <c r="H21" s="3">
        <f ca="1">IFERROR(INDEX(OFFSET(INDIRECT("v_buffer_hist_hoy!$A$1"),1,MATCH("pro_familia",INDIRECT("v_buffer_hist_hoy!$1:$1"),0)-1,100000,1),MATCH(CLEAN(TABLATRANSFERENCIA[[#This Row],[CODIGO]]),OFFSET(INDIRECT("v_buffer_hist_hoy!$A$1"),1,MATCH("buh_codigo",INDIRECT("v_buffer_hist_hoy!$1:$1"),0)-1,100000,1),0)),"")</f>
        <v>0</v>
      </c>
      <c r="I21" s="3">
        <f ca="1">IFERROR(INDEX(OFFSET(INDIRECT("v_buffer_hist_hoy!$A$1"),1,MATCH("pro_subfamilia",INDIRECT("v_buffer_hist_hoy!$1:$1"),0)-1,100000,1),MATCH(CLEAN(TABLATRANSFERENCIA[[#This Row],[CODIGO]]),OFFSET(INDIRECT("v_buffer_hist_hoy!$A$1"),1,MATCH("buh_codigo",INDIRECT("v_buffer_hist_hoy!$1:$1"),0)-1,100000,1),0)),"")</f>
        <v>0</v>
      </c>
      <c r="J21" s="3" t="str">
        <f ca="1">IFERROR(INDEX(OFFSET(INDIRECT("v_buffer_hist_hoy!$A$1"),1,MATCH("pro_categoria",INDIRECT("v_buffer_hist_hoy!$1:$1"),0)-1,100000,1),MATCH(CLEAN(TABLATRANSFERENCIA[[#This Row],[CODIGO]]),OFFSET(INDIRECT("v_buffer_hist_hoy!$A$1"),1,MATCH("buh_codigo",INDIRECT("v_buffer_hist_hoy!$1:$1"),0)-1,100000,1),0)),"")</f>
        <v>INSECTICIDA</v>
      </c>
      <c r="K21" s="3">
        <f ca="1">IFERROR(INDEX(OFFSET(INDIRECT("v_buffer_hist_hoy!$A$1"),1,MATCH("pro_tipo",INDIRECT("v_buffer_hist_hoy!$1:$1"),0)-1,100000,1),MATCH(CLEAN(TABLATRANSFERENCIA[[#This Row],[CODIGO]]),OFFSET(INDIRECT("v_buffer_hist_hoy!$A$1"),1,MATCH("buh_codigo",INDIRECT("v_buffer_hist_hoy!$1:$1"),0)-1,100000,1),0)),"")</f>
        <v>0</v>
      </c>
      <c r="L21" s="3" t="str">
        <f ca="1">IFERROR(INDEX(OFFSET(INDIRECT("v_buffer_hist_hoy!$A$1"),1,MATCH("pro_marca",INDIRECT("v_buffer_hist_hoy!$1:$1"),0)-1,100000,1),MATCH(CLEAN(TABLATRANSFERENCIA[[#This Row],[CODIGO]]),OFFSET(INDIRECT("v_buffer_hist_hoy!$A$1"),1,MATCH("buh_codigo",INDIRECT("v_buffer_hist_hoy!$1:$1"),0)-1,100000,1),0)),"")</f>
        <v>SINOCHEM</v>
      </c>
      <c r="M21" s="3">
        <f ca="1">IFERROR(INDEX(OFFSET(INDIRECT("v_buffer_hist_hoy!$A$1"),1,MATCH("pro_modelo",INDIRECT("v_buffer_hist_hoy!$1:$1"),0)-1,100000,1),MATCH(CLEAN(TABLATRANSFERENCIA[[#This Row],[CODIGO]]),OFFSET(INDIRECT("v_buffer_hist_hoy!$A$1"),1,MATCH("buh_codigo",INDIRECT("v_buffer_hist_hoy!$1:$1"),0)-1,100000,1),0)),"")</f>
        <v>0</v>
      </c>
      <c r="N21" s="3">
        <f ca="1">IFERROR(INDEX(OFFSET(INDIRECT("v_buffer_hist_hoy!$A$1"),1,MATCH("pro_cat_management",INDIRECT("v_buffer_hist_hoy!$1:$1"),0)-1,100000,1),MATCH(CLEAN(TABLATRANSFERENCIA[[#This Row],[CODIGO]]),OFFSET(INDIRECT("v_buffer_hist_hoy!$A$1"),1,MATCH("buh_codigo",INDIRECT("v_buffer_hist_hoy!$1:$1"),0)-1,100000,1),0)),"")</f>
        <v>0</v>
      </c>
      <c r="O21" s="5" t="str">
        <f ca="1">IFERROR(INDEX(OFFSET(INDIRECT("v_buffer_hist_hoy!$A$1"),1,MATCH("buh_estatus",INDIRECT("v_buffer_hist_hoy!$1:$1"),0)-1,100000,1),MATCH(CLEAN(TABLATRANSFERENCIA[[#This Row],[CODIGO]]),OFFSET(INDIRECT("v_buffer_hist_hoy!$A$1"),1,MATCH("buh_codigo",INDIRECT("v_buffer_hist_hoy!$1:$1"),0)-1,100000,1),0)),"")</f>
        <v>0</v>
      </c>
      <c r="P21" s="5">
        <f ca="1">IFERROR(INDEX(OFFSET(INDIRECT("v_buffer_hist_hoy!$A$1"),1,MATCH("buh_ctv",INDIRECT("v_buffer_hist_hoy!$1:$1"),0)-1,100000,1),MATCH(CLEAN(TABLATRANSFERENCIA[[#This Row],[CODIGO]]),OFFSET(INDIRECT("v_buffer_hist_hoy!$A$1"),1,MATCH("buh_codigo",INDIRECT("v_buffer_hist_hoy!$1:$1"),0)-1,100000,1),0)),"")</f>
        <v>660.15</v>
      </c>
      <c r="Q21" s="5">
        <f ca="1">IFERROR(INDEX(OFFSET(INDIRECT("v_buffer_hist_hoy!$A$1"),1,MATCH("buh_pv",INDIRECT("v_buffer_hist_hoy!$1:$1"),0)-1,100000,1),MATCH(CLEAN(TABLATRANSFERENCIA[[#This Row],[CODIGO]]),OFFSET(INDIRECT("v_buffer_hist_hoy!$A$1"),1,MATCH("buh_codigo",INDIRECT("v_buffer_hist_hoy!$1:$1"),0)-1,100000,1),0)),"")</f>
        <v>0</v>
      </c>
      <c r="R21" s="46">
        <f ca="1">IFERROR(INDEX(OFFSET(INDIRECT("v_buffer_hist_hoy!$A$1"),1,MATCH("buh_roi_pasado",INDIRECT("v_buffer_hist_hoy!$1:$1"),0)-1,100000,1),MATCH(CLEAN(TABLATRANSFERENCIA[[#This Row],[CODIGO]]),OFFSET(INDIRECT("v_buffer_hist_hoy!$A$1"),1,MATCH("buh_codigo",INDIRECT("v_buffer_hist_hoy!$1:$1"),0)-1,100000,1),0)),"")</f>
        <v>0</v>
      </c>
      <c r="S21" s="46">
        <f ca="1">IFERROR(INDEX(OFFSET(INDIRECT("v_buffer_hist_hoy!$A$1"),1,MATCH("buh_roi_proyectado",INDIRECT("v_buffer_hist_hoy!$1:$1"),0)-1,100000,1),MATCH(CLEAN(TABLATRANSFERENCIA[[#This Row],[CODIGO]]),OFFSET(INDIRECT("v_buffer_hist_hoy!$A$1"),1,MATCH("buh_codigo",INDIRECT("v_buffer_hist_hoy!$1:$1"),0)-1,100000,1),0)),"")</f>
        <v>-3</v>
      </c>
      <c r="T21" s="46">
        <f ca="1">IFERROR(INDEX(OFFSET(INDIRECT("v_buffer_hist_hoy!$A$1"),1,MATCH("buh_velocity",INDIRECT("v_buffer_hist_hoy!$1:$1"),0)-1,100000,1),MATCH(CLEAN(TABLATRANSFERENCIA[[#This Row],[CODIGO]]),OFFSET(INDIRECT("v_buffer_hist_hoy!$A$1"),1,MATCH("buh_codigo",INDIRECT("v_buffer_hist_hoy!$1:$1"),0)-1,100000,1),0)),"")</f>
        <v>0</v>
      </c>
      <c r="U21" s="46">
        <f ca="1">IFERROR(INDEX(OFFSET(INDIRECT("v_buffer_hist_hoy!$A$1"),1,MATCH("buh_nivel_servicio",INDIRECT("v_buffer_hist_hoy!$1:$1"),0)-1,100000,1),MATCH(CLEAN(TABLATRANSFERENCIA[[#This Row],[CODIGO]]),OFFSET(INDIRECT("v_buffer_hist_hoy!$A$1"),1,MATCH("buh_codigo",INDIRECT("v_buffer_hist_hoy!$1:$1"),0)-1,100000,1),0)),"")</f>
        <v>1</v>
      </c>
      <c r="V21" s="49" t="str">
        <f ca="1">IFERROR(INDEX(OFFSET(INDIRECT("v_buffer_hist_hoy!$A$1"),1,MATCH("pro_nombre",INDIRECT("v_buffer_hist_hoy!$1:$1"),0)-1,100000,1),MATCH(CLEAN(TABLATRANSFERENCIA[[#This Row],[CODIGO]]),OFFSET(INDIRECT("v_buffer_hist_hoy!$A$1"),1,MATCH("buh_codigo",INDIRECT("v_buffer_hist_hoy!$1:$1"),0)-1,100000,1),0)),"")</f>
        <v>Sinochem</v>
      </c>
      <c r="W21" s="49" t="str">
        <f ca="1">IFERROR(INDEX(OFFSET(INDIRECT("v_buffer_hist_hoy!$A$1"),1,MATCH("pre_nombre",INDIRECT("v_buffer_hist_hoy!$1:$1"),0)-1,100000,1),MATCH(CLEAN(TABLATRANSFERENCIA[[#This Row],[CODIGO]]),OFFSET(INDIRECT("v_buffer_hist_hoy!$A$1"),1,MATCH("buh_codigo",INDIRECT("v_buffer_hist_hoy!$1:$1"),0)-1,100000,1),0)),"")</f>
        <v>CHINA</v>
      </c>
      <c r="X21" s="51">
        <f ca="1">IFERROR(INDEX(OFFSET(INDIRECT("v_buffer_hist_hoy!$A$1"),1,MATCH("buh_tiempo_suministro",INDIRECT("v_buffer_hist_hoy!$1:$1"),0)-1,100000,1),MATCH(CLEAN(TABLATRANSFERENCIA[[#This Row],[CODIGO]]),OFFSET(INDIRECT("v_buffer_hist_hoy!$A$1"),1,MATCH("buh_codigo",INDIRECT("v_buffer_hist_hoy!$1:$1"),0)-1,100000,1),0)),"")</f>
        <v>12</v>
      </c>
      <c r="Y21" s="51">
        <f ca="1">IFERROR(INDEX(OFFSET(INDIRECT("v_buffer_hist_hoy!$A$1"),1,MATCH("buh_frecuencia_reposicion",INDIRECT("v_buffer_hist_hoy!$1:$1"),0)-1,100000,1),MATCH(CLEAN(TABLATRANSFERENCIA[[#This Row],[CODIGO]]),OFFSET(INDIRECT("v_buffer_hist_hoy!$A$1"),1,MATCH("buh_codigo",INDIRECT("v_buffer_hist_hoy!$1:$1"),0)-1,100000,1),0)),"")</f>
        <v>4</v>
      </c>
      <c r="Z21" s="6">
        <f ca="1">IFERROR(INDEX(OFFSET(INDIRECT("v_buffer_hist_hoy!$A$1"),1,MATCH("buh_buffer_actual",INDIRECT("v_buffer_hist_hoy!$1:$1"),0)-1,100000,1),MATCH(CLEAN(TABLATRANSFERENCIA[[#This Row],[CODIGO]]),OFFSET(INDIRECT("v_buffer_hist_hoy!$A$1"),1,MATCH("buh_codigo",INDIRECT("v_buffer_hist_hoy!$1:$1"),0)-1,100000,1),0)),"")</f>
        <v>18</v>
      </c>
      <c r="AA21" s="6">
        <f ca="1">IFERROR(INDEX(OFFSET(INDIRECT("v_buffer_hist_hoy!$A$1"),1,MATCH("buh_inventario_fisico",INDIRECT("v_buffer_hist_hoy!$1:$1"),0)-1,100000,1),MATCH(CLEAN(TABLATRANSFERENCIA[[#This Row],[CODIGO]]),OFFSET(INDIRECT("v_buffer_hist_hoy!$A$1"),1,MATCH("buh_codigo",INDIRECT("v_buffer_hist_hoy!$1:$1"),0)-1,100000,1),0)),"")</f>
        <v>0</v>
      </c>
      <c r="AB21" s="4">
        <f ca="1">IFERROR(INDEX(OFFSET(INDIRECT("v_buffer_hist_hoy!$A$1"),1,MATCH("buh_estado_inventario_fisico",INDIRECT("v_buffer_hist_hoy!$1:$1"),0)-1,100000,1),MATCH(CLEAN(TABLATRANSFERENCIA[[#This Row],[CODIGO]]),OFFSET(INDIRECT("v_buffer_hist_hoy!$A$1"),1,MATCH("buh_codigo",INDIRECT("v_buffer_hist_hoy!$1:$1"),0)-1,100000,1),0)),"")</f>
        <v>1</v>
      </c>
      <c r="AC21" s="6" t="str">
        <f ca="1">IFERROR(INDEX(OFFSET(INDIRECT("v_buffer_hist_hoy!$A$1"),1,MATCH("buh_color_inventario_fisico",INDIRECT("v_buffer_hist_hoy!$1:$1"),0)-1,100000,1),MATCH(CLEAN(TABLATRANSFERENCIA[[#This Row],[CODIGO]]),OFFSET(INDIRECT("v_buffer_hist_hoy!$A$1"),1,MATCH("buh_codigo",INDIRECT("v_buffer_hist_hoy!$1:$1"),0)-1,100000,1),0)),"")</f>
        <v>N</v>
      </c>
      <c r="AD21" s="6">
        <f ca="1">IFERROR(INDEX(OFFSET(INDIRECT("v_buffer_hist_hoy!$A$1"),1,MATCH("buh_transito",INDIRECT("v_buffer_hist_hoy!$1:$1"),0)-1,100000,1),MATCH(CLEAN(TABLATRANSFERENCIA[[#This Row],[CODIGO]]),OFFSET(INDIRECT("v_buffer_hist_hoy!$A$1"),1,MATCH("buh_codigo",INDIRECT("v_buffer_hist_hoy!$1:$1"),0)-1,100000,1),0)),"")</f>
        <v>20</v>
      </c>
      <c r="AE21" s="6">
        <f ca="1">IFERROR(INDEX(OFFSET(INDIRECT("v_buffer_hist_hoy!$A$1"),1,MATCH("buh_negociacion",INDIRECT("v_buffer_hist_hoy!$1:$1"),0)-1,100000,1),MATCH(CLEAN(TABLATRANSFERENCIA[[#This Row],[CODIGO]]),OFFSET(INDIRECT("v_buffer_hist_hoy!$A$1"),1,MATCH("buh_codigo",INDIRECT("v_buffer_hist_hoy!$1:$1"),0)-1,100000,1),0)),"")</f>
        <v>0</v>
      </c>
      <c r="AF21" s="6">
        <f ca="1">IFERROR(INDEX(OFFSET(INDIRECT("v_buffer_hist_hoy!$A$1"),1,MATCH("buh_produccion",INDIRECT("v_buffer_hist_hoy!$1:$1"),0)-1,100000,1),MATCH(CLEAN(TABLATRANSFERENCIA[[#This Row],[CODIGO]]),OFFSET(INDIRECT("v_buffer_hist_hoy!$A$1"),1,MATCH("buh_codigo",INDIRECT("v_buffer_hist_hoy!$1:$1"),0)-1,100000,1),0)),"")</f>
        <v>0</v>
      </c>
      <c r="AG21" s="6">
        <f ca="1">IFERROR(INDEX(OFFSET(INDIRECT("v_buffer_hist_hoy!$A$1"),1,MATCH("buh_embarcado",INDIRECT("v_buffer_hist_hoy!$1:$1"),0)-1,100000,1),MATCH(CLEAN(TABLATRANSFERENCIA[[#This Row],[CODIGO]]),OFFSET(INDIRECT("v_buffer_hist_hoy!$A$1"),1,MATCH("buh_codigo",INDIRECT("v_buffer_hist_hoy!$1:$1"),0)-1,100000,1),0)),"")</f>
        <v>0</v>
      </c>
      <c r="AH21" s="6">
        <f ca="1">IFERROR(INDEX(OFFSET(INDIRECT("v_buffer_hist_hoy!$A$1"),1,MATCH("buh_comprometido",INDIRECT("v_buffer_hist_hoy!$1:$1"),0)-1,100000,1),MATCH(CLEAN(TABLATRANSFERENCIA[[#This Row],[CODIGO]]),OFFSET(INDIRECT("v_buffer_hist_hoy!$A$1"),1,MATCH("buh_codigo",INDIRECT("v_buffer_hist_hoy!$1:$1"),0)-1,100000,1),0)),"")</f>
        <v>0</v>
      </c>
      <c r="AI21" s="6">
        <f ca="1">IFERROR(INDEX(OFFSET(INDIRECT("v_buffer_hist_hoy!$A$1"),1,MATCH("buh_backorder",INDIRECT("v_buffer_hist_hoy!$1:$1"),0)-1,100000,1),MATCH(CLEAN(TABLATRANSFERENCIA[[#This Row],[CODIGO]]),OFFSET(INDIRECT("v_buffer_hist_hoy!$A$1"),1,MATCH("buh_codigo",INDIRECT("v_buffer_hist_hoy!$1:$1"),0)-1,100000,1),0)),"")</f>
        <v>0</v>
      </c>
      <c r="AJ21" s="6">
        <f ca="1">IFERROR(INDEX(OFFSET(INDIRECT("v_buffer_hist_hoy!$A$1"),1,MATCH("buh_inventario_proyectado",INDIRECT("v_buffer_hist_hoy!$1:$1"),0)-1,100000,1),MATCH(CLEAN(TABLATRANSFERENCIA[[#This Row],[CODIGO]]),OFFSET(INDIRECT("v_buffer_hist_hoy!$A$1"),1,MATCH("buh_codigo",INDIRECT("v_buffer_hist_hoy!$1:$1"),0)-1,100000,1),0)),"")</f>
        <v>20</v>
      </c>
      <c r="AK21" s="4">
        <f ca="1">IFERROR(INDEX(OFFSET(INDIRECT("v_buffer_hist_hoy!$A$1"),1,MATCH("buh_estado_inventario_proyectado",INDIRECT("v_buffer_hist_hoy!$1:$1"),0)-1,100000,1),MATCH(CLEAN(TABLATRANSFERENCIA[[#This Row],[CODIGO]]),OFFSET(INDIRECT("v_buffer_hist_hoy!$A$1"),1,MATCH("buh_codigo",INDIRECT("v_buffer_hist_hoy!$1:$1"),0)-1,100000,1),0)),"")</f>
        <v>-0.11</v>
      </c>
      <c r="AL21" s="6" t="str">
        <f ca="1">IFERROR(INDEX(OFFSET(INDIRECT("v_buffer_hist_hoy!$A$1"),1,MATCH("buh_color_inventario_proyectado",INDIRECT("v_buffer_hist_hoy!$1:$1"),0)-1,100000,1),MATCH(CLEAN(TABLATRANSFERENCIA[[#This Row],[CODIGO]]),OFFSET(INDIRECT("v_buffer_hist_hoy!$A$1"),1,MATCH("buh_codigo",INDIRECT("v_buffer_hist_hoy!$1:$1"),0)-1,100000,1),0)),"")</f>
        <v>L</v>
      </c>
      <c r="AM21" s="6">
        <f ca="1">IFERROR(INDEX(OFFSET(INDIRECT("v_buffer_hist_hoy!$A$1"),1,MATCH("buh_pedido_minimo",INDIRECT("v_buffer_hist_hoy!$1:$1"),0)-1,100000,1),MATCH(CLEAN(TABLATRANSFERENCIA[[#This Row],[CODIGO]]),OFFSET(INDIRECT("v_buffer_hist_hoy!$A$1"),1,MATCH("buh_codigo",INDIRECT("v_buffer_hist_hoy!$1:$1"),0)-1,100000,1),0)),"")</f>
        <v>0</v>
      </c>
      <c r="AN21" s="6">
        <f ca="1">IFERROR(INDEX(OFFSET(INDIRECT("v_buffer_hist_hoy!$A$1"),1,MATCH("buh_pedido_minimo_grupo",INDIRECT("v_buffer_hist_hoy!$1:$1"),0)-1,100000,1),MATCH(CLEAN(TABLATRANSFERENCIA[[#This Row],[CODIGO]]),OFFSET(INDIRECT("v_buffer_hist_hoy!$A$1"),1,MATCH("buh_codigo",INDIRECT("v_buffer_hist_hoy!$1:$1"),0)-1,100000,1),0)),"")</f>
        <v>0</v>
      </c>
      <c r="AO21" s="6">
        <f ca="1">IFERROR(INDEX(OFFSET(INDIRECT("v_buffer_hist_hoy!$A$1"),1,MATCH("buh_unidad_empaque",INDIRECT("v_buffer_hist_hoy!$1:$1"),0)-1,100000,1),MATCH(CLEAN(TABLATRANSFERENCIA[[#This Row],[CODIGO]]),OFFSET(INDIRECT("v_buffer_hist_hoy!$A$1"),1,MATCH("buh_codigo",INDIRECT("v_buffer_hist_hoy!$1:$1"),0)-1,100000,1),0)),"")</f>
        <v>0</v>
      </c>
      <c r="AP21" s="6">
        <f ca="1">IFERROR(INDEX(OFFSET(INDIRECT("v_buffer_hist_hoy!$A$1"),1,MATCH("buh_pedido_promedio",INDIRECT("v_buffer_hist_hoy!$1:$1"),0)-1,100000,1),MATCH(CLEAN(TABLATRANSFERENCIA[[#This Row],[CODIGO]]),OFFSET(INDIRECT("v_buffer_hist_hoy!$A$1"),1,MATCH("buh_codigo",INDIRECT("v_buffer_hist_hoy!$1:$1"),0)-1,100000,1),0)),"")</f>
        <v>5</v>
      </c>
      <c r="AQ21" s="6">
        <f ca="1">IFERROR(INDEX(OFFSET(INDIRECT("v_buffer_hist_hoy!$A$1"),1,MATCH("buh_cobertura_buffer",INDIRECT("v_buffer_hist_hoy!$1:$1"),0)-1,100000,1),MATCH(CLEAN(TABLATRANSFERENCIA[[#This Row],[CODIGO]]),OFFSET(INDIRECT("v_buffer_hist_hoy!$A$1"),1,MATCH("buh_codigo",INDIRECT("v_buffer_hist_hoy!$1:$1"),0)-1,100000,1),0)),"")</f>
        <v>0</v>
      </c>
      <c r="AR21" s="6">
        <f ca="1">IFERROR(INDEX(OFFSET(INDIRECT("v_buffer_hist_hoy!$A$1"),1,MATCH("buh_cobertura_inventario_proyectado",INDIRECT("v_buffer_hist_hoy!$1:$1"),0)-1,100000,1),MATCH(CLEAN(TABLATRANSFERENCIA[[#This Row],[CODIGO]]),OFFSET(INDIRECT("v_buffer_hist_hoy!$A$1"),1,MATCH("buh_codigo",INDIRECT("v_buffer_hist_hoy!$1:$1"),0)-1,100000,1),0)),"")</f>
        <v>0</v>
      </c>
      <c r="AS21" s="6">
        <f ca="1">IFERROR(INDEX(OFFSET(INDIRECT("v_buffer_hist_hoy!$A$1"),1,MATCH("buh_cobertura_pedido_minimo",INDIRECT("v_buffer_hist_hoy!$1:$1"),0)-1,100000,1),MATCH(CLEAN(TABLATRANSFERENCIA[[#This Row],[CODIGO]]),OFFSET(INDIRECT("v_buffer_hist_hoy!$A$1"),1,MATCH("buh_codigo",INDIRECT("v_buffer_hist_hoy!$1:$1"),0)-1,100000,1),0)),"")</f>
        <v>0</v>
      </c>
      <c r="AT21" s="6">
        <f ca="1">IFERROR(INDEX(OFFSET(INDIRECT("v_buffer_hist_hoy!$A$1"),1,MATCH("buh_dias_desabastecimiento",INDIRECT("v_buffer_hist_hoy!$1:$1"),0)-1,100000,1),MATCH(CLEAN(TABLATRANSFERENCIA[[#This Row],[CODIGO]]),OFFSET(INDIRECT("v_buffer_hist_hoy!$A$1"),1,MATCH("buh_codigo",INDIRECT("v_buffer_hist_hoy!$1:$1"),0)-1,100000,1),0)),"")</f>
        <v>96</v>
      </c>
      <c r="AU21" s="6">
        <f t="array" ref="AU21">IFERROR(INDEX(Datos_Consumo[CANTIDAD],MATCH(TABLATRANSFERENCIA[[#This Row],[CODIGO]]&amp;TABLATRANSFERENCIA[[#Headers],[Columna1]],Datos_Consumo[CODIGO]&amp;Datos_Consumo[FECHA_FORMATO],0)),0)</f>
        <v>0</v>
      </c>
      <c r="AV21" s="6">
        <f t="array" ref="AV21">IFERROR(INDEX(Datos_Consumo[CANTIDAD],MATCH(TABLATRANSFERENCIA[[#This Row],[CODIGO]]&amp;TABLATRANSFERENCIA[[#Headers],[Columna2]],Datos_Consumo[CODIGO]&amp;Datos_Consumo[FECHA_FORMATO],0)),0)</f>
        <v>0</v>
      </c>
      <c r="AW21" s="6">
        <f t="array" ref="AW21">IFERROR(INDEX(Datos_Consumo[CANTIDAD],MATCH(TABLATRANSFERENCIA[[#This Row],[CODIGO]]&amp;TABLATRANSFERENCIA[[#Headers],[Columna3]],Datos_Consumo[CODIGO]&amp;Datos_Consumo[FECHA_FORMATO],0)),0)</f>
        <v>0</v>
      </c>
      <c r="AX21" s="6">
        <f t="array" ref="AX21">IFERROR(INDEX(Datos_Consumo[CANTIDAD],MATCH(TABLATRANSFERENCIA[[#This Row],[CODIGO]]&amp;TABLATRANSFERENCIA[[#Headers],[Columna4]],Datos_Consumo[CODIGO]&amp;Datos_Consumo[FECHA_FORMATO],0)),0)</f>
        <v>0</v>
      </c>
      <c r="AY21" s="6">
        <f t="array" ref="AY21">IFERROR(INDEX(Datos_Consumo[CANTIDAD],MATCH(TABLATRANSFERENCIA[[#This Row],[CODIGO]]&amp;TABLATRANSFERENCIA[[#Headers],[Columna5]],Datos_Consumo[CODIGO]&amp;Datos_Consumo[FECHA_FORMATO],0)),0)</f>
        <v>0</v>
      </c>
      <c r="AZ21" s="6">
        <f t="array" ref="AZ21">IFERROR(INDEX(Datos_Consumo[CANTIDAD],MATCH(TABLATRANSFERENCIA[[#This Row],[CODIGO]]&amp;TABLATRANSFERENCIA[[#Headers],[Columna6]],Datos_Consumo[CODIGO]&amp;Datos_Consumo[FECHA_FORMATO],0)),0)</f>
        <v>0</v>
      </c>
      <c r="BA21" s="54">
        <f ca="1">IFERROR(INDEX(OFFSET(INDIRECT("v_buffer_hist_hoy!$A$1"),1,MATCH("buh_ultima_transferencia_ini",INDIRECT("v_buffer_hist_hoy!$1:$1"),0)-1,100000,1),MATCH(CLEAN(TABLATRANSFERENCIA[[#This Row],[CODIGO]]),OFFSET(INDIRECT("v_buffer_hist_hoy!$A$1"),1,MATCH("buh_codigo",INDIRECT("v_buffer_hist_hoy!$1:$1"),0)-1,100000,1),0)),"")</f>
        <v>0</v>
      </c>
      <c r="BB21" s="54">
        <f ca="1">IFERROR(INDEX(OFFSET(INDIRECT("v_buffer_hist_hoy!$A$1"),1,MATCH("buh_ultima_transferencia_fin",INDIRECT("v_buffer_hist_hoy!$1:$1"),0)-1,100000,1),MATCH(CLEAN(TABLATRANSFERENCIA[[#This Row],[CODIGO]]),OFFSET(INDIRECT("v_buffer_hist_hoy!$A$1"),1,MATCH("buh_codigo",INDIRECT("v_buffer_hist_hoy!$1:$1"),0)-1,100000,1),0)),"")</f>
        <v>0</v>
      </c>
      <c r="BC21" s="60">
        <v>20</v>
      </c>
      <c r="BD21" s="64">
        <v>20</v>
      </c>
      <c r="BE21" s="51"/>
      <c r="BF21" s="51">
        <f>IF(RIGHT(TABLATRANSFERENCIA[[#Headers],[Emb1]],1)*1&lt;=TABLATRANSFERENCIA[[#This Row],[EMBARQUES]],IF(ISBLANK(TABLATRANSFERENCIA[[#This Row],[EMBARQUES]]),TABLATRANSFERENCIA[[#This Row],[REQUERIM]],ROUND(TABLATRANSFERENCIA[[#This Row],[REQUERIM]]/TABLATRANSFERENCIA[[#This Row],[EMBARQUES]],0)),TABLATRANSFERENCIA[[#This Row],[REQUERIM]])</f>
        <v>20</v>
      </c>
      <c r="BG2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H2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I2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J2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K21" s="51"/>
      <c r="BL21" s="46">
        <f ca="1">IFERROR(TABLATRANSFERENCIA[[#This Row],[REQUERIM]]/TABLATRANSFERENCIA[[#This Row],[PEDIDO PROMEDIO]],0)</f>
        <v>4</v>
      </c>
      <c r="BM21" s="68">
        <v>20</v>
      </c>
      <c r="BN21" s="58"/>
      <c r="BO21" s="3">
        <f>IF(TABLATRANSFERENCIA[[#This Row],[RECIBIDO]]&lt;&gt;"",0,IF(TABLATRANSFERENCIA[[#This Row],[DESPACHO]]&lt;&gt;"",TABLATRANSFERENCIA[[#This Row],[DESPACHO]],TABLATRANSFERENCIA[[#This Row],[REQUERIM]]))</f>
        <v>20</v>
      </c>
      <c r="BP21" s="50"/>
      <c r="BQ21" s="50"/>
      <c r="BR21" s="50" t="str">
        <f>"N"</f>
        <v>N</v>
      </c>
      <c r="BS21" s="51">
        <f t="array" aca="1" ref="BS21" ca="1">IF(SUM(--(TABLATRANSFERENCIA[[#This Row],[CODIGO GENERICO]]=TABLATRANSFERENCIA[CODIGO GENERICO])*TABLATRANSFERENCIA[REQUERIM])&lt;TABLATRANSFERENCIA[[#This Row],[PEDIDO MIN GRUPO]],1,0)</f>
        <v>0</v>
      </c>
      <c r="BT2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U21" s="51">
        <f ca="1">IFERROR(INDEX(OFFSET(INDIRECT("v_buffer_hist_hoy!$A$1"),1,MATCH("buh_zona_amarilla",INDIRECT("v_buffer_hist_hoy!$1:$1"),0)-1,100000,1),MATCH(CLEAN(TABLATRANSFERENCIA[[#This Row],[CODIGO]]),OFFSET(INDIRECT("v_buffer_hist_hoy!$A$1"),1,MATCH("buh_codigo",INDIRECT("v_buffer_hist_hoy!$1:$1"),0)-1,100000,1),0)),"")</f>
        <v>12</v>
      </c>
      <c r="BV21" s="51">
        <f ca="1">IFERROR(INDEX(OFFSET(INDIRECT("v_buffer_hist_hoy!$A$1"),1,MATCH("buh_zona_roja",INDIRECT("v_buffer_hist_hoy!$1:$1"),0)-1,100000,1),MATCH(CLEAN(TABLATRANSFERENCIA[[#This Row],[CODIGO]]),OFFSET(INDIRECT("v_buffer_hist_hoy!$A$1"),1,MATCH("buh_codigo",INDIRECT("v_buffer_hist_hoy!$1:$1"),0)-1,100000,1),0)),"")</f>
        <v>6</v>
      </c>
    </row>
  </sheetData>
  <sheetProtection algorithmName="SHA-512" hashValue="3HFJni8HEHyfZ7H5CYT6AvumVTGveX5DEnGrzjtJp8l/odGHux+wiyyhePosUZscoslvrYXi14E/1me04KkxCg==" saltValue="xeN29nleWoNdkA1D149ahg==" spinCount="100000" sheet="1" objects="1" scenarios="1" formatCells="0" sort="0" autoFilter="0"/>
  <conditionalFormatting sqref="BM9:BN21">
    <cfRule type="expression" dxfId="22" priority="34">
      <formula>ISBLANK(BM9)</formula>
    </cfRule>
  </conditionalFormatting>
  <conditionalFormatting sqref="B5">
    <cfRule type="expression" dxfId="21" priority="26">
      <formula>ISBLANK(REFERENCIA)</formula>
    </cfRule>
  </conditionalFormatting>
  <conditionalFormatting sqref="D3">
    <cfRule type="expression" dxfId="20" priority="24">
      <formula>AND(ISNUMBER($D$3),$D$3&lt;$D$2)</formula>
    </cfRule>
    <cfRule type="expression" dxfId="19" priority="33">
      <formula>ISBLANK(FECHACIERRE)</formula>
    </cfRule>
  </conditionalFormatting>
  <conditionalFormatting sqref="B6 D3">
    <cfRule type="expression" dxfId="18" priority="25">
      <formula>ISBLANK(FECHAARRIBO)</formula>
    </cfRule>
  </conditionalFormatting>
  <conditionalFormatting sqref="B7">
    <cfRule type="expression" dxfId="17" priority="23">
      <formula>NOT((B7=""))</formula>
    </cfRule>
  </conditionalFormatting>
  <conditionalFormatting sqref="AJ9:AJ21 AA9:AA21">
    <cfRule type="expression" dxfId="16" priority="15">
      <formula>AC9="G"</formula>
    </cfRule>
    <cfRule type="expression" dxfId="15" priority="16">
      <formula>AC9="L"</formula>
    </cfRule>
    <cfRule type="expression" dxfId="14" priority="17">
      <formula>AC9="V"</formula>
    </cfRule>
    <cfRule type="expression" dxfId="13" priority="18">
      <formula>AC9="A"</formula>
    </cfRule>
    <cfRule type="expression" dxfId="12" priority="19">
      <formula>AC9="N"</formula>
    </cfRule>
    <cfRule type="expression" dxfId="11" priority="20">
      <formula>AC9="R"</formula>
    </cfRule>
  </conditionalFormatting>
  <conditionalFormatting sqref="BQ9:BQ21">
    <cfRule type="expression" dxfId="10" priority="17384">
      <formula>AND(ISNUMBER($BN9),$BM9&lt;&gt;$BN9)</formula>
    </cfRule>
  </conditionalFormatting>
  <conditionalFormatting sqref="AN9:AN21">
    <cfRule type="expression" dxfId="9" priority="8">
      <formula>$BS9=1</formula>
    </cfRule>
  </conditionalFormatting>
  <conditionalFormatting sqref="BC9:BC21">
    <cfRule type="expression" dxfId="8" priority="2">
      <formula>$BT9="N"</formula>
    </cfRule>
    <cfRule type="expression" dxfId="7" priority="3">
      <formula>$BT9="R"</formula>
    </cfRule>
    <cfRule type="expression" dxfId="6" priority="4">
      <formula>$BT9="A"</formula>
    </cfRule>
    <cfRule type="expression" dxfId="5" priority="5">
      <formula>$BT9="L"</formula>
    </cfRule>
    <cfRule type="expression" dxfId="4" priority="6">
      <formula>$BT9="V"</formula>
    </cfRule>
    <cfRule type="expression" dxfId="3" priority="7">
      <formula>$BT9="G"</formula>
    </cfRule>
  </conditionalFormatting>
  <conditionalFormatting sqref="BP9:BP21">
    <cfRule type="expression" dxfId="2" priority="35604">
      <formula>AND(ISNUMBER($BM9),$BC9&lt;&gt;$BM9)</formula>
    </cfRule>
  </conditionalFormatting>
  <conditionalFormatting sqref="BA9:BA21">
    <cfRule type="expression" dxfId="1" priority="1">
      <formula>TODAY()&lt;=(BA9+Y9*7)</formula>
    </cfRule>
  </conditionalFormatting>
  <conditionalFormatting sqref="R1:S1">
    <cfRule type="expression" dxfId="0" priority="46236">
      <formula>COUNTA($BN$9:$BN$21)=0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P9:BQ21">
      <formula1>RangoCausas</formula1>
    </dataValidation>
    <dataValidation type="whole" allowBlank="1" showErrorMessage="1" promptTitle="Número de Embarques" sqref="BF9:BJ21">
      <formula1>0</formula1>
      <formula2>1000000</formula2>
    </dataValidation>
    <dataValidation type="whole" allowBlank="1" showErrorMessage="1" promptTitle="Número de Embarques" sqref="BE9:BE21">
      <formula1>1</formula1>
      <formula2>5</formula2>
    </dataValidation>
    <dataValidation allowBlank="1" showErrorMessage="1" promptTitle="Número de Embarques" sqref="BK9:BK21"/>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6" r:id="rId8" name="cmdConsumo">
          <controlPr defaultSize="0" autoLine="0" r:id="rId9">
            <anchor moveWithCells="1" sizeWithCells="1">
              <from>
                <xdr:col>0</xdr:col>
                <xdr:colOff>266700</xdr:colOff>
                <xdr:row>0</xdr:row>
                <xdr:rowOff>28575</xdr:rowOff>
              </from>
              <to>
                <xdr:col>0</xdr:col>
                <xdr:colOff>533400</xdr:colOff>
                <xdr:row>0</xdr:row>
                <xdr:rowOff>295275</xdr:rowOff>
              </to>
            </anchor>
          </controlPr>
        </control>
      </mc:Choice>
      <mc:Fallback>
        <control shapeId="1076" r:id="rId8" name="cmdConsumo"/>
      </mc:Fallback>
    </mc:AlternateContent>
    <mc:AlternateContent xmlns:mc="http://schemas.openxmlformats.org/markup-compatibility/2006">
      <mc:Choice Requires="x14">
        <control shapeId="1072" r:id="rId10" name="cmdDescendente">
          <controlPr defaultSize="0" autoLine="0" r:id="rId11">
            <anchor>
              <from>
                <xdr:col>1</xdr:col>
                <xdr:colOff>2695575</xdr:colOff>
                <xdr:row>0</xdr:row>
                <xdr:rowOff>28575</xdr:rowOff>
              </from>
              <to>
                <xdr:col>1</xdr:col>
                <xdr:colOff>2867025</xdr:colOff>
                <xdr:row>0</xdr:row>
                <xdr:rowOff>266700</xdr:rowOff>
              </to>
            </anchor>
          </controlPr>
        </control>
      </mc:Choice>
      <mc:Fallback>
        <control shapeId="1072" r:id="rId10" name="cmdDescendente"/>
      </mc:Fallback>
    </mc:AlternateContent>
    <mc:AlternateContent xmlns:mc="http://schemas.openxmlformats.org/markup-compatibility/2006">
      <mc:Choice Requires="x14">
        <control shapeId="1071" r:id="rId12" name="cmdAscendente">
          <controlPr defaultSize="0" autoLine="0" r:id="rId13">
            <anchor>
              <from>
                <xdr:col>1</xdr:col>
                <xdr:colOff>2514600</xdr:colOff>
                <xdr:row>0</xdr:row>
                <xdr:rowOff>28575</xdr:rowOff>
              </from>
              <to>
                <xdr:col>1</xdr:col>
                <xdr:colOff>2686050</xdr:colOff>
                <xdr:row>0</xdr:row>
                <xdr:rowOff>266700</xdr:rowOff>
              </to>
            </anchor>
          </controlPr>
        </control>
      </mc:Choice>
      <mc:Fallback>
        <control shapeId="1071" r:id="rId12" name="cmdAscendente"/>
      </mc:Fallback>
    </mc:AlternateContent>
    <mc:AlternateContent xmlns:mc="http://schemas.openxmlformats.org/markup-compatibility/2006">
      <mc:Choice Requires="x14">
        <control shapeId="1070" r:id="rId14" name="cmdBorraRegistro">
          <controlPr defaultSize="0" autoLine="0" r:id="rId15">
            <anchor>
              <from>
                <xdr:col>2</xdr:col>
                <xdr:colOff>76200</xdr:colOff>
                <xdr:row>0</xdr:row>
                <xdr:rowOff>28575</xdr:rowOff>
              </from>
              <to>
                <xdr:col>2</xdr:col>
                <xdr:colOff>266700</xdr:colOff>
                <xdr:row>0</xdr:row>
                <xdr:rowOff>266700</xdr:rowOff>
              </to>
            </anchor>
          </controlPr>
        </control>
      </mc:Choice>
      <mc:Fallback>
        <control shapeId="1070" r:id="rId14" name="cmdBorraRegistro"/>
      </mc:Fallback>
    </mc:AlternateContent>
    <mc:AlternateContent xmlns:mc="http://schemas.openxmlformats.org/markup-compatibility/2006">
      <mc:Choice Requires="x14">
        <control shapeId="1067" r:id="rId16" name="cmdImprimir">
          <controlPr defaultSize="0" autoLine="0" r:id="rId17">
            <anchor>
              <from>
                <xdr:col>1</xdr:col>
                <xdr:colOff>219075</xdr:colOff>
                <xdr:row>0</xdr:row>
                <xdr:rowOff>28575</xdr:rowOff>
              </from>
              <to>
                <xdr:col>1</xdr:col>
                <xdr:colOff>590550</xdr:colOff>
                <xdr:row>0</xdr:row>
                <xdr:rowOff>295275</xdr:rowOff>
              </to>
            </anchor>
          </controlPr>
        </control>
      </mc:Choice>
      <mc:Fallback>
        <control shapeId="1067" r:id="rId16" name="cmdImprimir"/>
      </mc:Fallback>
    </mc:AlternateContent>
    <mc:AlternateContent xmlns:mc="http://schemas.openxmlformats.org/markup-compatibility/2006">
      <mc:Choice Requires="x14">
        <control shapeId="1039" r:id="rId18" name="cmdMRP">
          <controlPr defaultSize="0" autoLine="0" r:id="rId19">
            <anchor>
              <from>
                <xdr:col>1</xdr:col>
                <xdr:colOff>581025</xdr:colOff>
                <xdr:row>0</xdr:row>
                <xdr:rowOff>28575</xdr:rowOff>
              </from>
              <to>
                <xdr:col>1</xdr:col>
                <xdr:colOff>923925</xdr:colOff>
                <xdr:row>0</xdr:row>
                <xdr:rowOff>295275</xdr:rowOff>
              </to>
            </anchor>
          </controlPr>
        </control>
      </mc:Choice>
      <mc:Fallback>
        <control shapeId="1039" r:id="rId18" name="cmdMRP"/>
      </mc:Fallback>
    </mc:AlternateContent>
    <mc:AlternateContent xmlns:mc="http://schemas.openxmlformats.org/markup-compatibility/2006">
      <mc:Choice Requires="x14">
        <control shapeId="1038" r:id="rId20" name="cmdFechaCierre">
          <controlPr defaultSize="0" autoLine="0" r:id="rId21">
            <anchor moveWithCells="1">
              <from>
                <xdr:col>3</xdr:col>
                <xdr:colOff>1009650</xdr:colOff>
                <xdr:row>2</xdr:row>
                <xdr:rowOff>0</xdr:rowOff>
              </from>
              <to>
                <xdr:col>4</xdr:col>
                <xdr:colOff>19050</xdr:colOff>
                <xdr:row>3</xdr:row>
                <xdr:rowOff>19050</xdr:rowOff>
              </to>
            </anchor>
          </controlPr>
        </control>
      </mc:Choice>
      <mc:Fallback>
        <control shapeId="1038" r:id="rId20" name="cmdFechaCierre"/>
      </mc:Fallback>
    </mc:AlternateContent>
    <mc:AlternateContent xmlns:mc="http://schemas.openxmlformats.org/markup-compatibility/2006">
      <mc:Choice Requires="x14">
        <control shapeId="1037" r:id="rId22" name="cmdFechaArribo">
          <controlPr defaultSize="0" autoLine="0" r:id="rId21">
            <anchor moveWithCells="1">
              <from>
                <xdr:col>1</xdr:col>
                <xdr:colOff>2924175</xdr:colOff>
                <xdr:row>5</xdr:row>
                <xdr:rowOff>0</xdr:rowOff>
              </from>
              <to>
                <xdr:col>2</xdr:col>
                <xdr:colOff>19050</xdr:colOff>
                <xdr:row>5</xdr:row>
                <xdr:rowOff>209550</xdr:rowOff>
              </to>
            </anchor>
          </controlPr>
        </control>
      </mc:Choice>
      <mc:Fallback>
        <control shapeId="1037" r:id="rId22" name="cmdFechaArribo"/>
      </mc:Fallback>
    </mc:AlternateContent>
    <mc:AlternateContent xmlns:mc="http://schemas.openxmlformats.org/markup-compatibility/2006">
      <mc:Choice Requires="x14">
        <control shapeId="1030" r:id="rId23" name="cmdLlenarTransferEspecial">
          <controlPr defaultSize="0" autoLine="0" r:id="rId24">
            <anchor>
              <from>
                <xdr:col>4</xdr:col>
                <xdr:colOff>323850</xdr:colOff>
                <xdr:row>0</xdr:row>
                <xdr:rowOff>276225</xdr:rowOff>
              </from>
              <to>
                <xdr:col>4</xdr:col>
                <xdr:colOff>1371600</xdr:colOff>
                <xdr:row>2</xdr:row>
                <xdr:rowOff>38100</xdr:rowOff>
              </to>
            </anchor>
          </controlPr>
        </control>
      </mc:Choice>
      <mc:Fallback>
        <control shapeId="1030" r:id="rId23" name="cmdLlenarTransferEspecial"/>
      </mc:Fallback>
    </mc:AlternateContent>
    <mc:AlternateContent xmlns:mc="http://schemas.openxmlformats.org/markup-compatibility/2006">
      <mc:Choice Requires="x14">
        <control shapeId="1028" r:id="rId25" name="cmdDarDeBaja">
          <controlPr defaultSize="0" autoLine="0" r:id="rId26">
            <anchor>
              <from>
                <xdr:col>0</xdr:col>
                <xdr:colOff>1123950</xdr:colOff>
                <xdr:row>0</xdr:row>
                <xdr:rowOff>28575</xdr:rowOff>
              </from>
              <to>
                <xdr:col>1</xdr:col>
                <xdr:colOff>219075</xdr:colOff>
                <xdr:row>0</xdr:row>
                <xdr:rowOff>295275</xdr:rowOff>
              </to>
            </anchor>
          </controlPr>
        </control>
      </mc:Choice>
      <mc:Fallback>
        <control shapeId="1028" r:id="rId25" name="cmdDarDeBaja"/>
      </mc:Fallback>
    </mc:AlternateContent>
    <mc:AlternateContent xmlns:mc="http://schemas.openxmlformats.org/markup-compatibility/2006">
      <mc:Choice Requires="x14">
        <control shapeId="1025" r:id="rId27" name="cmdConfirmar">
          <controlPr defaultSize="0" autoLine="0" r:id="rId28">
            <anchor>
              <from>
                <xdr:col>4</xdr:col>
                <xdr:colOff>228600</xdr:colOff>
                <xdr:row>0</xdr:row>
                <xdr:rowOff>276225</xdr:rowOff>
              </from>
              <to>
                <xdr:col>4</xdr:col>
                <xdr:colOff>885825</xdr:colOff>
                <xdr:row>2</xdr:row>
                <xdr:rowOff>38100</xdr:rowOff>
              </to>
            </anchor>
          </controlPr>
        </control>
      </mc:Choice>
      <mc:Fallback>
        <control shapeId="1025" r:id="rId27" name="cmdConfirmar"/>
      </mc:Fallback>
    </mc:AlternateContent>
    <mc:AlternateContent xmlns:mc="http://schemas.openxmlformats.org/markup-compatibility/2006">
      <mc:Choice Requires="x14">
        <control shapeId="1026" r:id="rId29" name="cmdCancelar">
          <controlPr defaultSize="0" autoLine="0" r:id="rId30">
            <anchor>
              <from>
                <xdr:col>4</xdr:col>
                <xdr:colOff>247650</xdr:colOff>
                <xdr:row>2</xdr:row>
                <xdr:rowOff>76200</xdr:rowOff>
              </from>
              <to>
                <xdr:col>4</xdr:col>
                <xdr:colOff>904875</xdr:colOff>
                <xdr:row>3</xdr:row>
                <xdr:rowOff>152400</xdr:rowOff>
              </to>
            </anchor>
          </controlPr>
        </control>
      </mc:Choice>
      <mc:Fallback>
        <control shapeId="1026" r:id="rId29" name="cmdCancelar"/>
      </mc:Fallback>
    </mc:AlternateContent>
    <mc:AlternateContent xmlns:mc="http://schemas.openxmlformats.org/markup-compatibility/2006">
      <mc:Choice Requires="x14">
        <control shapeId="1029" r:id="rId31" name="cmdLlenarTransfer">
          <controlPr defaultSize="0" autoLine="0" r:id="rId32">
            <anchor>
              <from>
                <xdr:col>4</xdr:col>
                <xdr:colOff>247650</xdr:colOff>
                <xdr:row>0</xdr:row>
                <xdr:rowOff>276225</xdr:rowOff>
              </from>
              <to>
                <xdr:col>4</xdr:col>
                <xdr:colOff>1152525</xdr:colOff>
                <xdr:row>2</xdr:row>
                <xdr:rowOff>38100</xdr:rowOff>
              </to>
            </anchor>
          </controlPr>
        </control>
      </mc:Choice>
      <mc:Fallback>
        <control shapeId="1029" r:id="rId31" name="cmdLlenarTransfer"/>
      </mc:Fallback>
    </mc:AlternateContent>
    <mc:AlternateContent xmlns:mc="http://schemas.openxmlformats.org/markup-compatibility/2006">
      <mc:Choice Requires="x14">
        <control shapeId="1031" r:id="rId33" name="cmdBuscaItem">
          <controlPr defaultSize="0" autoLine="0" r:id="rId34">
            <anchor>
              <from>
                <xdr:col>0</xdr:col>
                <xdr:colOff>0</xdr:colOff>
                <xdr:row>0</xdr:row>
                <xdr:rowOff>28575</xdr:rowOff>
              </from>
              <to>
                <xdr:col>0</xdr:col>
                <xdr:colOff>276225</xdr:colOff>
                <xdr:row>0</xdr:row>
                <xdr:rowOff>295275</xdr:rowOff>
              </to>
            </anchor>
          </controlPr>
        </control>
      </mc:Choice>
      <mc:Fallback>
        <control shapeId="1031" r:id="rId33" name="cmdBuscaItem"/>
      </mc:Fallback>
    </mc:AlternateContent>
    <mc:AlternateContent xmlns:mc="http://schemas.openxmlformats.org/markup-compatibility/2006">
      <mc:Choice Requires="x14">
        <control shapeId="1068" r:id="rId35" name="txtBusqueda">
          <controlPr defaultSize="0" autoLine="0" r:id="rId36">
            <anchor>
              <from>
                <xdr:col>1</xdr:col>
                <xdr:colOff>933450</xdr:colOff>
                <xdr:row>0</xdr:row>
                <xdr:rowOff>28575</xdr:rowOff>
              </from>
              <to>
                <xdr:col>1</xdr:col>
                <xdr:colOff>2276475</xdr:colOff>
                <xdr:row>1</xdr:row>
                <xdr:rowOff>0</xdr:rowOff>
              </to>
            </anchor>
          </controlPr>
        </control>
      </mc:Choice>
      <mc:Fallback>
        <control shapeId="1068" r:id="rId35" name="txtBusqueda"/>
      </mc:Fallback>
    </mc:AlternateContent>
    <mc:AlternateContent xmlns:mc="http://schemas.openxmlformats.org/markup-compatibility/2006">
      <mc:Choice Requires="x14">
        <control shapeId="1069" r:id="rId37" name="cmdQuitaFiltros">
          <controlPr defaultSize="0" autoLine="0" r:id="rId38">
            <anchor>
              <from>
                <xdr:col>1</xdr:col>
                <xdr:colOff>2276475</xdr:colOff>
                <xdr:row>0</xdr:row>
                <xdr:rowOff>28575</xdr:rowOff>
              </from>
              <to>
                <xdr:col>1</xdr:col>
                <xdr:colOff>2505075</xdr:colOff>
                <xdr:row>0</xdr:row>
                <xdr:rowOff>276225</xdr:rowOff>
              </to>
            </anchor>
          </controlPr>
        </control>
      </mc:Choice>
      <mc:Fallback>
        <control shapeId="1069" r:id="rId37" name="cmdQuitaFiltros"/>
      </mc:Fallback>
    </mc:AlternateContent>
    <mc:AlternateContent xmlns:mc="http://schemas.openxmlformats.org/markup-compatibility/2006">
      <mc:Choice Requires="x14">
        <control shapeId="1073" r:id="rId39" name="cmdVistas">
          <controlPr defaultSize="0" autoLine="0" r:id="rId40">
            <anchor>
              <from>
                <xdr:col>0</xdr:col>
                <xdr:colOff>533400</xdr:colOff>
                <xdr:row>0</xdr:row>
                <xdr:rowOff>28575</xdr:rowOff>
              </from>
              <to>
                <xdr:col>0</xdr:col>
                <xdr:colOff>828675</xdr:colOff>
                <xdr:row>0</xdr:row>
                <xdr:rowOff>295275</xdr:rowOff>
              </to>
            </anchor>
          </controlPr>
        </control>
      </mc:Choice>
      <mc:Fallback>
        <control shapeId="1073" r:id="rId39" name="cmdVistas"/>
      </mc:Fallback>
    </mc:AlternateContent>
    <mc:AlternateContent xmlns:mc="http://schemas.openxmlformats.org/markup-compatibility/2006">
      <mc:Choice Requires="x14">
        <control shapeId="1074" r:id="rId41" name="cmdRefrescar">
          <controlPr defaultSize="0" print="0" autoLine="0" r:id="rId42">
            <anchor>
              <from>
                <xdr:col>0</xdr:col>
                <xdr:colOff>838200</xdr:colOff>
                <xdr:row>0</xdr:row>
                <xdr:rowOff>28575</xdr:rowOff>
              </from>
              <to>
                <xdr:col>0</xdr:col>
                <xdr:colOff>1095375</xdr:colOff>
                <xdr:row>0</xdr:row>
                <xdr:rowOff>295275</xdr:rowOff>
              </to>
            </anchor>
          </controlPr>
        </control>
      </mc:Choice>
      <mc:Fallback>
        <control shapeId="1074" r:id="rId41" name="cmdRefrescar"/>
      </mc:Fallback>
    </mc:AlternateContent>
  </controls>
  <tableParts count="1">
    <tablePart r:id="rId4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
  <sheetViews>
    <sheetView workbookViewId="0"/>
  </sheetViews>
  <sheetFormatPr baseColWidth="10" defaultRowHeight="15" x14ac:dyDescent="0.25"/>
  <sheetData>
    <row r="1" spans="1:1" x14ac:dyDescent="0.25">
      <c r="A1" t="s">
        <v>1267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54"/>
  <sheetViews>
    <sheetView showGridLines="0" workbookViewId="0">
      <selection activeCell="K2" sqref="K2:K23"/>
    </sheetView>
  </sheetViews>
  <sheetFormatPr baseColWidth="10" defaultRowHeight="15" x14ac:dyDescent="0.25"/>
  <cols>
    <col min="1" max="1" width="14.28515625" customWidth="1"/>
    <col min="2" max="2" width="10.85546875" customWidth="1"/>
    <col min="3" max="3" width="11.28515625" customWidth="1"/>
    <col min="4" max="4" width="22.28515625" customWidth="1"/>
    <col min="5" max="5" width="19.28515625" customWidth="1"/>
    <col min="7" max="7" width="10.85546875" customWidth="1"/>
    <col min="8" max="8" width="11.42578125" customWidth="1"/>
    <col min="9" max="9" width="8" customWidth="1"/>
    <col min="11" max="11" width="10.85546875" customWidth="1"/>
    <col min="12" max="12" width="22.28515625" customWidth="1"/>
    <col min="13" max="13" width="8" customWidth="1"/>
    <col min="14" max="14" width="25.140625" customWidth="1"/>
    <col min="15" max="15" width="13.140625" customWidth="1"/>
    <col min="16" max="16" width="31.28515625" customWidth="1"/>
    <col min="17" max="17" width="14.140625" customWidth="1"/>
    <col min="18" max="18" width="15.28515625" customWidth="1"/>
    <col min="20" max="20" width="14.140625" bestFit="1" customWidth="1"/>
    <col min="21" max="21" width="15.28515625" bestFit="1" customWidth="1"/>
    <col min="22" max="22" width="13.5703125" bestFit="1" customWidth="1"/>
    <col min="23" max="23" width="22.42578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31</v>
      </c>
      <c r="B1" t="s">
        <v>32</v>
      </c>
      <c r="C1" t="s">
        <v>4</v>
      </c>
      <c r="D1" t="s">
        <v>33</v>
      </c>
      <c r="E1" t="s">
        <v>34</v>
      </c>
      <c r="G1" t="s">
        <v>35</v>
      </c>
      <c r="H1" t="s">
        <v>36</v>
      </c>
      <c r="I1" t="s">
        <v>37</v>
      </c>
      <c r="K1" t="s">
        <v>35</v>
      </c>
      <c r="L1" t="s">
        <v>36</v>
      </c>
      <c r="M1" t="s">
        <v>37</v>
      </c>
      <c r="N1" t="s">
        <v>882</v>
      </c>
      <c r="Q1" t="s">
        <v>972</v>
      </c>
      <c r="R1" t="s">
        <v>973</v>
      </c>
      <c r="T1" t="s">
        <v>972</v>
      </c>
      <c r="U1" t="s">
        <v>973</v>
      </c>
      <c r="V1" t="s">
        <v>974</v>
      </c>
      <c r="W1" t="s">
        <v>975</v>
      </c>
    </row>
    <row r="2" spans="1:23" x14ac:dyDescent="0.25">
      <c r="A2" t="s">
        <v>886</v>
      </c>
      <c r="B2" t="s">
        <v>885</v>
      </c>
      <c r="C2" t="s">
        <v>1148</v>
      </c>
      <c r="D2" t="s">
        <v>1156</v>
      </c>
      <c r="E2" s="3"/>
      <c r="K2" t="s">
        <v>885</v>
      </c>
      <c r="L2" s="41" t="s">
        <v>1156</v>
      </c>
      <c r="M2" s="41" t="s">
        <v>1155</v>
      </c>
      <c r="N2" s="41" t="str">
        <f>Tabla_Path_Codigo_Nueva[PATH]&amp;"\"&amp;Tabla_Path_Codigo_Nueva[ARCHIVO]</f>
        <v>O:\CASCOS-BATERIAS.xlsm</v>
      </c>
      <c r="Q2" t="s">
        <v>1041</v>
      </c>
      <c r="R2" t="s">
        <v>1039</v>
      </c>
      <c r="T2" t="s">
        <v>1041</v>
      </c>
      <c r="U2" t="s">
        <v>1039</v>
      </c>
      <c r="V2" t="s">
        <v>1040</v>
      </c>
      <c r="W2" t="s">
        <v>1038</v>
      </c>
    </row>
    <row r="3" spans="1:23" x14ac:dyDescent="0.25">
      <c r="K3" t="s">
        <v>885</v>
      </c>
      <c r="L3" s="55" t="s">
        <v>1156</v>
      </c>
      <c r="M3" s="55" t="s">
        <v>1155</v>
      </c>
      <c r="N3" s="55" t="str">
        <f>Tabla_Path_Codigo_Nueva[PATH]&amp;"\"&amp;Tabla_Path_Codigo_Nueva[ARCHIVO]</f>
        <v>O:\CASCOS-BATERIAS.xlsm</v>
      </c>
      <c r="T3" t="s">
        <v>1041</v>
      </c>
      <c r="U3" t="s">
        <v>1039</v>
      </c>
      <c r="V3" t="s">
        <v>1042</v>
      </c>
      <c r="W3" t="s">
        <v>1043</v>
      </c>
    </row>
    <row r="4" spans="1:23" x14ac:dyDescent="0.25">
      <c r="K4" t="s">
        <v>885</v>
      </c>
      <c r="L4" s="55" t="s">
        <v>1156</v>
      </c>
      <c r="M4" s="55" t="s">
        <v>1155</v>
      </c>
      <c r="N4" s="55" t="str">
        <f>Tabla_Path_Codigo_Nueva[PATH]&amp;"\"&amp;Tabla_Path_Codigo_Nueva[ARCHIVO]</f>
        <v>O:\CASCOS-BATERIAS.xlsm</v>
      </c>
      <c r="T4" t="s">
        <v>1041</v>
      </c>
      <c r="U4" t="s">
        <v>1039</v>
      </c>
      <c r="V4" t="s">
        <v>1044</v>
      </c>
      <c r="W4" t="s">
        <v>1045</v>
      </c>
    </row>
    <row r="5" spans="1:23" x14ac:dyDescent="0.25">
      <c r="K5" t="s">
        <v>885</v>
      </c>
      <c r="L5" s="55" t="s">
        <v>1156</v>
      </c>
      <c r="M5" s="55" t="s">
        <v>1155</v>
      </c>
      <c r="N5" s="55" t="str">
        <f>Tabla_Path_Codigo_Nueva[PATH]&amp;"\"&amp;Tabla_Path_Codigo_Nueva[ARCHIVO]</f>
        <v>O:\CASCOS-BATERIAS.xlsm</v>
      </c>
      <c r="T5" t="s">
        <v>1041</v>
      </c>
      <c r="U5" t="s">
        <v>1039</v>
      </c>
      <c r="V5" t="s">
        <v>1046</v>
      </c>
      <c r="W5" t="s">
        <v>1047</v>
      </c>
    </row>
    <row r="6" spans="1:23" x14ac:dyDescent="0.25">
      <c r="K6" t="s">
        <v>885</v>
      </c>
      <c r="L6" s="55" t="s">
        <v>1156</v>
      </c>
      <c r="M6" s="55" t="s">
        <v>1155</v>
      </c>
      <c r="N6" s="55" t="str">
        <f>Tabla_Path_Codigo_Nueva[PATH]&amp;"\"&amp;Tabla_Path_Codigo_Nueva[ARCHIVO]</f>
        <v>O:\CASCOS-BATERIAS.xlsm</v>
      </c>
      <c r="T6" t="s">
        <v>1041</v>
      </c>
      <c r="U6" t="s">
        <v>1039</v>
      </c>
      <c r="V6" t="s">
        <v>1048</v>
      </c>
      <c r="W6" t="s">
        <v>1049</v>
      </c>
    </row>
    <row r="7" spans="1:23" x14ac:dyDescent="0.25">
      <c r="K7" t="s">
        <v>885</v>
      </c>
      <c r="L7" s="55" t="s">
        <v>1156</v>
      </c>
      <c r="M7" s="55" t="s">
        <v>1155</v>
      </c>
      <c r="N7" s="55" t="str">
        <f>Tabla_Path_Codigo_Nueva[PATH]&amp;"\"&amp;Tabla_Path_Codigo_Nueva[ARCHIVO]</f>
        <v>O:\CASCOS-BATERIAS.xlsm</v>
      </c>
      <c r="T7" t="s">
        <v>1041</v>
      </c>
      <c r="U7" t="s">
        <v>1039</v>
      </c>
      <c r="V7" t="s">
        <v>1050</v>
      </c>
      <c r="W7" t="s">
        <v>1051</v>
      </c>
    </row>
    <row r="8" spans="1:23" x14ac:dyDescent="0.25">
      <c r="D8" s="41"/>
      <c r="K8" t="s">
        <v>885</v>
      </c>
      <c r="L8" s="55" t="s">
        <v>1156</v>
      </c>
      <c r="M8" s="55" t="s">
        <v>1155</v>
      </c>
      <c r="N8" s="55" t="str">
        <f>Tabla_Path_Codigo_Nueva[PATH]&amp;"\"&amp;Tabla_Path_Codigo_Nueva[ARCHIVO]</f>
        <v>O:\CASCOS-BATERIAS.xlsm</v>
      </c>
      <c r="T8" t="s">
        <v>1041</v>
      </c>
      <c r="U8" t="s">
        <v>1039</v>
      </c>
      <c r="V8" t="s">
        <v>1052</v>
      </c>
      <c r="W8" t="s">
        <v>1053</v>
      </c>
    </row>
    <row r="9" spans="1:23" x14ac:dyDescent="0.25">
      <c r="K9" t="s">
        <v>885</v>
      </c>
      <c r="L9" s="55" t="s">
        <v>1156</v>
      </c>
      <c r="M9" s="55" t="s">
        <v>1155</v>
      </c>
      <c r="N9" s="55" t="str">
        <f>Tabla_Path_Codigo_Nueva[PATH]&amp;"\"&amp;Tabla_Path_Codigo_Nueva[ARCHIVO]</f>
        <v>O:\CASCOS-BATERIAS.xlsm</v>
      </c>
      <c r="T9" t="s">
        <v>1041</v>
      </c>
      <c r="U9" t="s">
        <v>1039</v>
      </c>
      <c r="V9" t="s">
        <v>1027</v>
      </c>
      <c r="W9" t="s">
        <v>1054</v>
      </c>
    </row>
    <row r="10" spans="1:23" x14ac:dyDescent="0.25">
      <c r="T10" t="s">
        <v>1041</v>
      </c>
      <c r="U10" t="s">
        <v>1039</v>
      </c>
      <c r="V10" t="s">
        <v>1055</v>
      </c>
      <c r="W10" t="s">
        <v>1056</v>
      </c>
    </row>
    <row r="11" spans="1:23" x14ac:dyDescent="0.25">
      <c r="T11" t="s">
        <v>1041</v>
      </c>
      <c r="U11" t="s">
        <v>1039</v>
      </c>
      <c r="V11" t="s">
        <v>1057</v>
      </c>
      <c r="W11" t="s">
        <v>1058</v>
      </c>
    </row>
    <row r="12" spans="1:23" x14ac:dyDescent="0.25">
      <c r="T12" t="s">
        <v>1041</v>
      </c>
      <c r="U12" t="s">
        <v>1039</v>
      </c>
      <c r="V12" t="s">
        <v>1059</v>
      </c>
      <c r="W12" t="s">
        <v>1060</v>
      </c>
    </row>
    <row r="13" spans="1:23" x14ac:dyDescent="0.25">
      <c r="T13" t="s">
        <v>1041</v>
      </c>
      <c r="U13" t="s">
        <v>1039</v>
      </c>
      <c r="V13" t="s">
        <v>1061</v>
      </c>
      <c r="W13" t="s">
        <v>1062</v>
      </c>
    </row>
    <row r="14" spans="1:23" x14ac:dyDescent="0.25">
      <c r="T14" t="s">
        <v>1041</v>
      </c>
      <c r="U14" t="s">
        <v>1039</v>
      </c>
      <c r="V14" t="s">
        <v>1063</v>
      </c>
      <c r="W14" t="s">
        <v>1064</v>
      </c>
    </row>
    <row r="15" spans="1:23" x14ac:dyDescent="0.25">
      <c r="T15" t="s">
        <v>1041</v>
      </c>
      <c r="U15" t="s">
        <v>1039</v>
      </c>
      <c r="V15" t="s">
        <v>1065</v>
      </c>
      <c r="W15" t="s">
        <v>1066</v>
      </c>
    </row>
    <row r="16" spans="1:23" x14ac:dyDescent="0.25">
      <c r="T16" t="s">
        <v>1041</v>
      </c>
      <c r="U16" t="s">
        <v>1039</v>
      </c>
      <c r="V16" t="s">
        <v>1067</v>
      </c>
      <c r="W16" t="s">
        <v>1068</v>
      </c>
    </row>
    <row r="17" spans="6:23" x14ac:dyDescent="0.25">
      <c r="T17" t="s">
        <v>1041</v>
      </c>
      <c r="U17" t="s">
        <v>1039</v>
      </c>
      <c r="V17" t="s">
        <v>1069</v>
      </c>
      <c r="W17" t="s">
        <v>1070</v>
      </c>
    </row>
    <row r="18" spans="6:23" x14ac:dyDescent="0.25">
      <c r="T18" t="s">
        <v>1041</v>
      </c>
      <c r="U18" t="s">
        <v>1039</v>
      </c>
      <c r="V18" t="s">
        <v>1071</v>
      </c>
      <c r="W18" t="s">
        <v>1072</v>
      </c>
    </row>
    <row r="19" spans="6:23" x14ac:dyDescent="0.25">
      <c r="T19" t="s">
        <v>1041</v>
      </c>
      <c r="U19" t="s">
        <v>1039</v>
      </c>
      <c r="V19" t="s">
        <v>1073</v>
      </c>
      <c r="W19" t="s">
        <v>1074</v>
      </c>
    </row>
    <row r="20" spans="6:23" x14ac:dyDescent="0.25">
      <c r="T20" t="s">
        <v>1041</v>
      </c>
      <c r="U20" t="s">
        <v>1039</v>
      </c>
      <c r="V20" t="s">
        <v>1075</v>
      </c>
      <c r="W20" t="s">
        <v>1076</v>
      </c>
    </row>
    <row r="21" spans="6:23" x14ac:dyDescent="0.25">
      <c r="T21" t="s">
        <v>1041</v>
      </c>
      <c r="U21" t="s">
        <v>1039</v>
      </c>
      <c r="V21" t="s">
        <v>1077</v>
      </c>
      <c r="W21" t="s">
        <v>1078</v>
      </c>
    </row>
    <row r="22" spans="6:23" x14ac:dyDescent="0.25">
      <c r="T22" t="s">
        <v>1041</v>
      </c>
      <c r="U22" t="s">
        <v>1039</v>
      </c>
      <c r="V22" t="s">
        <v>1079</v>
      </c>
      <c r="W22" t="s">
        <v>1080</v>
      </c>
    </row>
    <row r="23" spans="6:23" x14ac:dyDescent="0.25">
      <c r="T23" t="s">
        <v>1041</v>
      </c>
      <c r="U23" t="s">
        <v>1039</v>
      </c>
      <c r="V23" t="s">
        <v>1081</v>
      </c>
      <c r="W23" t="s">
        <v>1082</v>
      </c>
    </row>
    <row r="24" spans="6:23" x14ac:dyDescent="0.25">
      <c r="T24" t="s">
        <v>1041</v>
      </c>
      <c r="U24" t="s">
        <v>1039</v>
      </c>
      <c r="V24" t="s">
        <v>1083</v>
      </c>
      <c r="W24" t="s">
        <v>1084</v>
      </c>
    </row>
    <row r="25" spans="6:23" x14ac:dyDescent="0.25">
      <c r="F25" s="41"/>
      <c r="T25" t="s">
        <v>1041</v>
      </c>
      <c r="U25" t="s">
        <v>1039</v>
      </c>
      <c r="V25" t="s">
        <v>1085</v>
      </c>
      <c r="W25" t="s">
        <v>1086</v>
      </c>
    </row>
    <row r="26" spans="6:23" x14ac:dyDescent="0.25">
      <c r="T26" t="s">
        <v>1041</v>
      </c>
      <c r="U26" t="s">
        <v>1039</v>
      </c>
      <c r="V26" t="s">
        <v>1087</v>
      </c>
      <c r="W26" t="s">
        <v>1088</v>
      </c>
    </row>
    <row r="27" spans="6:23" x14ac:dyDescent="0.25">
      <c r="T27" t="s">
        <v>1041</v>
      </c>
      <c r="U27" t="s">
        <v>1039</v>
      </c>
      <c r="V27" t="s">
        <v>1089</v>
      </c>
      <c r="W27" t="s">
        <v>1090</v>
      </c>
    </row>
    <row r="28" spans="6:23" x14ac:dyDescent="0.25">
      <c r="T28" t="s">
        <v>1041</v>
      </c>
      <c r="U28" t="s">
        <v>1039</v>
      </c>
      <c r="V28" t="s">
        <v>1091</v>
      </c>
      <c r="W28" t="s">
        <v>1092</v>
      </c>
    </row>
    <row r="29" spans="6:23" x14ac:dyDescent="0.25">
      <c r="T29" t="s">
        <v>1041</v>
      </c>
      <c r="U29" t="s">
        <v>1039</v>
      </c>
      <c r="V29" t="s">
        <v>1093</v>
      </c>
      <c r="W29" t="s">
        <v>1094</v>
      </c>
    </row>
    <row r="30" spans="6:23" x14ac:dyDescent="0.25">
      <c r="T30" t="s">
        <v>1041</v>
      </c>
      <c r="U30" t="s">
        <v>1039</v>
      </c>
      <c r="V30" t="s">
        <v>1095</v>
      </c>
      <c r="W30" t="s">
        <v>1096</v>
      </c>
    </row>
    <row r="31" spans="6:23" x14ac:dyDescent="0.25">
      <c r="T31" t="s">
        <v>1041</v>
      </c>
      <c r="U31" t="s">
        <v>1039</v>
      </c>
      <c r="V31" t="s">
        <v>1097</v>
      </c>
      <c r="W31" t="s">
        <v>1098</v>
      </c>
    </row>
    <row r="32" spans="6:23" x14ac:dyDescent="0.25">
      <c r="T32" t="s">
        <v>1041</v>
      </c>
      <c r="U32" t="s">
        <v>1039</v>
      </c>
      <c r="V32" t="s">
        <v>1099</v>
      </c>
      <c r="W32" t="s">
        <v>1100</v>
      </c>
    </row>
    <row r="33" spans="20:23" x14ac:dyDescent="0.25">
      <c r="T33" t="s">
        <v>1041</v>
      </c>
      <c r="U33" t="s">
        <v>1039</v>
      </c>
      <c r="V33" t="s">
        <v>1101</v>
      </c>
      <c r="W33" t="s">
        <v>1102</v>
      </c>
    </row>
    <row r="34" spans="20:23" x14ac:dyDescent="0.25">
      <c r="T34" t="s">
        <v>1041</v>
      </c>
      <c r="U34" t="s">
        <v>1039</v>
      </c>
      <c r="V34" t="s">
        <v>1103</v>
      </c>
      <c r="W34" t="s">
        <v>1104</v>
      </c>
    </row>
    <row r="35" spans="20:23" x14ac:dyDescent="0.25">
      <c r="T35" t="s">
        <v>1041</v>
      </c>
      <c r="U35" t="s">
        <v>1039</v>
      </c>
      <c r="V35" t="s">
        <v>1105</v>
      </c>
      <c r="W35" t="s">
        <v>1106</v>
      </c>
    </row>
    <row r="36" spans="20:23" x14ac:dyDescent="0.25">
      <c r="T36" t="s">
        <v>1041</v>
      </c>
      <c r="U36" t="s">
        <v>1039</v>
      </c>
      <c r="V36" t="s">
        <v>1107</v>
      </c>
      <c r="W36" t="s">
        <v>1108</v>
      </c>
    </row>
    <row r="37" spans="20:23" x14ac:dyDescent="0.25">
      <c r="T37" t="s">
        <v>1041</v>
      </c>
      <c r="U37" t="s">
        <v>1039</v>
      </c>
      <c r="V37" t="s">
        <v>1109</v>
      </c>
      <c r="W37" t="s">
        <v>1110</v>
      </c>
    </row>
    <row r="38" spans="20:23" x14ac:dyDescent="0.25">
      <c r="T38" t="s">
        <v>1041</v>
      </c>
      <c r="U38" t="s">
        <v>1039</v>
      </c>
      <c r="V38" t="s">
        <v>1111</v>
      </c>
      <c r="W38" t="s">
        <v>1112</v>
      </c>
    </row>
    <row r="39" spans="20:23" x14ac:dyDescent="0.25">
      <c r="T39" t="s">
        <v>1041</v>
      </c>
      <c r="U39" t="s">
        <v>1039</v>
      </c>
      <c r="V39" t="s">
        <v>1113</v>
      </c>
      <c r="W39" t="s">
        <v>1114</v>
      </c>
    </row>
    <row r="40" spans="20:23" x14ac:dyDescent="0.25">
      <c r="T40" t="s">
        <v>1041</v>
      </c>
      <c r="U40" t="s">
        <v>1039</v>
      </c>
      <c r="V40" t="s">
        <v>1115</v>
      </c>
      <c r="W40" t="s">
        <v>1116</v>
      </c>
    </row>
    <row r="41" spans="20:23" x14ac:dyDescent="0.25">
      <c r="T41" t="s">
        <v>1041</v>
      </c>
      <c r="U41" t="s">
        <v>1039</v>
      </c>
      <c r="V41" t="s">
        <v>1117</v>
      </c>
      <c r="W41" t="s">
        <v>1118</v>
      </c>
    </row>
    <row r="42" spans="20:23" x14ac:dyDescent="0.25">
      <c r="T42" t="s">
        <v>1041</v>
      </c>
      <c r="U42" t="s">
        <v>1039</v>
      </c>
      <c r="V42" t="s">
        <v>1119</v>
      </c>
      <c r="W42" t="s">
        <v>1120</v>
      </c>
    </row>
    <row r="43" spans="20:23" x14ac:dyDescent="0.25">
      <c r="T43" t="s">
        <v>1041</v>
      </c>
      <c r="U43" t="s">
        <v>1039</v>
      </c>
      <c r="V43" t="s">
        <v>1121</v>
      </c>
      <c r="W43" t="s">
        <v>1122</v>
      </c>
    </row>
    <row r="44" spans="20:23" x14ac:dyDescent="0.25">
      <c r="T44" t="s">
        <v>1041</v>
      </c>
      <c r="U44" t="s">
        <v>1039</v>
      </c>
      <c r="V44" t="s">
        <v>1123</v>
      </c>
      <c r="W44" t="s">
        <v>1124</v>
      </c>
    </row>
    <row r="45" spans="20:23" x14ac:dyDescent="0.25">
      <c r="T45" t="s">
        <v>1041</v>
      </c>
      <c r="U45" t="s">
        <v>1039</v>
      </c>
      <c r="V45" t="s">
        <v>1125</v>
      </c>
      <c r="W45" t="s">
        <v>1126</v>
      </c>
    </row>
    <row r="46" spans="20:23" x14ac:dyDescent="0.25">
      <c r="T46" t="s">
        <v>1041</v>
      </c>
      <c r="U46" t="s">
        <v>1039</v>
      </c>
      <c r="V46" t="s">
        <v>1127</v>
      </c>
      <c r="W46" t="s">
        <v>1128</v>
      </c>
    </row>
    <row r="47" spans="20:23" x14ac:dyDescent="0.25">
      <c r="T47" t="s">
        <v>1041</v>
      </c>
      <c r="U47" t="s">
        <v>1039</v>
      </c>
      <c r="V47" t="s">
        <v>1129</v>
      </c>
      <c r="W47" t="s">
        <v>1130</v>
      </c>
    </row>
    <row r="48" spans="20:23" x14ac:dyDescent="0.25">
      <c r="T48" t="s">
        <v>1041</v>
      </c>
      <c r="U48" t="s">
        <v>1039</v>
      </c>
      <c r="V48" t="s">
        <v>1131</v>
      </c>
      <c r="W48" t="s">
        <v>1132</v>
      </c>
    </row>
    <row r="49" spans="20:23" x14ac:dyDescent="0.25">
      <c r="T49" t="s">
        <v>1041</v>
      </c>
      <c r="U49" t="s">
        <v>1039</v>
      </c>
      <c r="V49" t="s">
        <v>1133</v>
      </c>
      <c r="W49" t="s">
        <v>1134</v>
      </c>
    </row>
    <row r="50" spans="20:23" x14ac:dyDescent="0.25">
      <c r="T50" t="s">
        <v>1041</v>
      </c>
      <c r="U50" t="s">
        <v>1039</v>
      </c>
      <c r="V50" t="s">
        <v>1135</v>
      </c>
      <c r="W50" t="s">
        <v>1136</v>
      </c>
    </row>
    <row r="51" spans="20:23" x14ac:dyDescent="0.25">
      <c r="T51" t="s">
        <v>1041</v>
      </c>
      <c r="U51" t="s">
        <v>1039</v>
      </c>
      <c r="V51" t="s">
        <v>1137</v>
      </c>
      <c r="W51" t="s">
        <v>1138</v>
      </c>
    </row>
    <row r="52" spans="20:23" x14ac:dyDescent="0.25">
      <c r="T52" t="s">
        <v>1041</v>
      </c>
      <c r="U52" t="s">
        <v>1039</v>
      </c>
      <c r="V52" t="s">
        <v>1139</v>
      </c>
      <c r="W52" t="s">
        <v>1140</v>
      </c>
    </row>
    <row r="53" spans="20:23" x14ac:dyDescent="0.25">
      <c r="T53" t="s">
        <v>1041</v>
      </c>
      <c r="U53" t="s">
        <v>1039</v>
      </c>
      <c r="V53" t="s">
        <v>1141</v>
      </c>
      <c r="W53" t="s">
        <v>1142</v>
      </c>
    </row>
    <row r="54" spans="20:23" x14ac:dyDescent="0.25">
      <c r="T54" t="s">
        <v>1041</v>
      </c>
      <c r="U54" t="s">
        <v>1039</v>
      </c>
      <c r="V54" t="s">
        <v>1143</v>
      </c>
      <c r="W54" t="s">
        <v>1144</v>
      </c>
    </row>
  </sheetData>
  <pageMargins left="0.7" right="0.7" top="0.75" bottom="0.75" header="0.3" footer="0.3"/>
  <pageSetup orientation="portrait"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23-11-2015</v>
      </c>
    </row>
    <row r="2" spans="1:1" x14ac:dyDescent="0.25">
      <c r="A2" t="str">
        <f ca="1">CELL("nombrearchivo",A1)</f>
        <v>C:\Users\MarciaSalazar\Documents\RAM CAS\MEJORA CONTINUA\CONTROL DE BUFFERS\TRANSFERENCIAS\[PATRON TRANSFERENCIAS.xlsm]DATOS</v>
      </c>
    </row>
    <row r="3" spans="1:1" x14ac:dyDescent="0.25">
      <c r="A3" t="str">
        <f ca="1">LEFT(SUBSTITUTE(SUBSTITUTE(A2,"[",""),"]",""),FIND("xlsm",SUBSTITUTE(SUBSTITUTE(A2,"[",""),"]",""),1)+3)</f>
        <v>C:\Users\MarciaSalazar\Documents\RAM CAS\MEJORA CONTINUA\CONTROL DE BUFFERS\TRANSFERENCIAS\PATRON TRANSFERENCIAS.xlsm</v>
      </c>
    </row>
    <row r="6" spans="1:1" x14ac:dyDescent="0.25">
      <c r="A6" t="s">
        <v>31</v>
      </c>
    </row>
    <row r="7" spans="1:1" x14ac:dyDescent="0.25">
      <c r="A7" t="s">
        <v>1269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38</v>
      </c>
      <c r="L1" t="s">
        <v>39</v>
      </c>
      <c r="M1" t="s">
        <v>11</v>
      </c>
      <c r="N1" t="s">
        <v>17</v>
      </c>
      <c r="O1" t="s">
        <v>13</v>
      </c>
      <c r="P1" t="s">
        <v>14</v>
      </c>
      <c r="Q1" t="s">
        <v>15</v>
      </c>
      <c r="R1" t="s">
        <v>20</v>
      </c>
      <c r="S1" t="s">
        <v>21</v>
      </c>
      <c r="T1" t="s">
        <v>22</v>
      </c>
      <c r="U1" t="s">
        <v>845</v>
      </c>
    </row>
    <row r="2" spans="1:21" x14ac:dyDescent="0.25">
      <c r="A2" t="s">
        <v>855</v>
      </c>
      <c r="B2" t="s">
        <v>856</v>
      </c>
      <c r="C2" t="s">
        <v>857</v>
      </c>
      <c r="D2" t="s">
        <v>853</v>
      </c>
      <c r="E2">
        <v>68</v>
      </c>
      <c r="F2">
        <v>306.59879999999998</v>
      </c>
      <c r="G2">
        <v>764</v>
      </c>
      <c r="H2">
        <v>150</v>
      </c>
      <c r="I2">
        <v>0.93</v>
      </c>
      <c r="J2">
        <v>1.49</v>
      </c>
      <c r="K2">
        <v>0</v>
      </c>
      <c r="L2">
        <v>0.89371999999999996</v>
      </c>
      <c r="M2">
        <v>67</v>
      </c>
      <c r="N2">
        <v>67</v>
      </c>
      <c r="O2">
        <v>67</v>
      </c>
      <c r="P2">
        <v>67</v>
      </c>
      <c r="Q2">
        <v>0</v>
      </c>
      <c r="T2" t="s">
        <v>839</v>
      </c>
    </row>
    <row r="3" spans="1:21" x14ac:dyDescent="0.25">
      <c r="A3" t="s">
        <v>41</v>
      </c>
      <c r="B3" t="s">
        <v>858</v>
      </c>
      <c r="C3" t="s">
        <v>859</v>
      </c>
      <c r="D3" t="s">
        <v>853</v>
      </c>
      <c r="E3">
        <v>10</v>
      </c>
      <c r="F3">
        <v>229.81200000000001</v>
      </c>
      <c r="G3">
        <v>464</v>
      </c>
      <c r="H3">
        <v>20</v>
      </c>
      <c r="I3">
        <v>0.9</v>
      </c>
      <c r="J3">
        <v>0.73</v>
      </c>
      <c r="K3">
        <v>0</v>
      </c>
      <c r="L3">
        <v>0.46969699999999998</v>
      </c>
      <c r="M3">
        <v>7</v>
      </c>
      <c r="N3">
        <v>7</v>
      </c>
      <c r="O3">
        <v>7</v>
      </c>
      <c r="P3">
        <v>7</v>
      </c>
      <c r="Q3">
        <v>0</v>
      </c>
      <c r="T3" t="s">
        <v>839</v>
      </c>
    </row>
    <row r="4" spans="1:21" x14ac:dyDescent="0.25">
      <c r="A4" t="s">
        <v>860</v>
      </c>
      <c r="B4" t="s">
        <v>861</v>
      </c>
      <c r="C4" t="s">
        <v>859</v>
      </c>
      <c r="D4" t="s">
        <v>853</v>
      </c>
      <c r="E4">
        <v>8</v>
      </c>
      <c r="F4">
        <v>378.37759999999997</v>
      </c>
      <c r="G4">
        <v>780</v>
      </c>
      <c r="H4">
        <v>15</v>
      </c>
      <c r="I4">
        <v>0.87</v>
      </c>
      <c r="J4">
        <v>0.33</v>
      </c>
      <c r="K4">
        <v>0</v>
      </c>
      <c r="L4">
        <v>1</v>
      </c>
      <c r="M4">
        <v>5</v>
      </c>
      <c r="N4">
        <v>5</v>
      </c>
      <c r="O4">
        <v>5</v>
      </c>
      <c r="P4">
        <v>5</v>
      </c>
      <c r="Q4">
        <v>0</v>
      </c>
      <c r="T4" t="s">
        <v>839</v>
      </c>
    </row>
    <row r="5" spans="1:21" x14ac:dyDescent="0.25">
      <c r="A5" t="s">
        <v>40</v>
      </c>
      <c r="B5" t="s">
        <v>862</v>
      </c>
      <c r="C5" t="s">
        <v>857</v>
      </c>
      <c r="D5" t="s">
        <v>853</v>
      </c>
      <c r="E5">
        <v>290</v>
      </c>
      <c r="F5">
        <v>324.18680000000001</v>
      </c>
      <c r="G5">
        <v>795</v>
      </c>
      <c r="H5">
        <v>650</v>
      </c>
      <c r="I5">
        <v>0.78</v>
      </c>
      <c r="J5">
        <v>1.27</v>
      </c>
      <c r="K5">
        <v>0</v>
      </c>
      <c r="L5">
        <v>0.46803099999999997</v>
      </c>
      <c r="M5">
        <v>207</v>
      </c>
      <c r="N5">
        <v>207</v>
      </c>
      <c r="O5">
        <v>207</v>
      </c>
      <c r="P5">
        <v>207</v>
      </c>
      <c r="Q5">
        <v>0</v>
      </c>
      <c r="T5" t="s">
        <v>839</v>
      </c>
    </row>
    <row r="6" spans="1:21" x14ac:dyDescent="0.25">
      <c r="A6" t="s">
        <v>863</v>
      </c>
      <c r="B6" t="s">
        <v>864</v>
      </c>
      <c r="C6" t="s">
        <v>865</v>
      </c>
      <c r="D6" t="s">
        <v>853</v>
      </c>
      <c r="E6">
        <v>37</v>
      </c>
      <c r="F6">
        <v>372.49869999999999</v>
      </c>
      <c r="G6">
        <v>624</v>
      </c>
      <c r="H6">
        <v>80</v>
      </c>
      <c r="I6">
        <v>0.76</v>
      </c>
      <c r="J6">
        <v>0.19</v>
      </c>
      <c r="K6">
        <v>0</v>
      </c>
      <c r="L6">
        <v>0.52694600000000003</v>
      </c>
      <c r="M6">
        <v>31</v>
      </c>
      <c r="N6">
        <v>31</v>
      </c>
      <c r="O6">
        <v>31</v>
      </c>
      <c r="P6">
        <v>31</v>
      </c>
      <c r="Q6">
        <v>0</v>
      </c>
      <c r="T6" t="s">
        <v>839</v>
      </c>
    </row>
    <row r="7" spans="1:21" x14ac:dyDescent="0.25">
      <c r="A7" t="s">
        <v>866</v>
      </c>
      <c r="B7" t="s">
        <v>867</v>
      </c>
      <c r="C7" t="s">
        <v>854</v>
      </c>
      <c r="D7" t="s">
        <v>853</v>
      </c>
      <c r="E7">
        <v>17</v>
      </c>
      <c r="F7">
        <v>1.3399000000000001</v>
      </c>
      <c r="G7">
        <v>3.81</v>
      </c>
      <c r="H7">
        <v>36</v>
      </c>
      <c r="I7">
        <v>0.72</v>
      </c>
      <c r="J7">
        <v>1.75</v>
      </c>
      <c r="K7">
        <v>0</v>
      </c>
      <c r="L7">
        <v>0.94594599999999995</v>
      </c>
      <c r="M7">
        <v>11</v>
      </c>
      <c r="N7">
        <v>11</v>
      </c>
      <c r="O7">
        <v>11</v>
      </c>
      <c r="P7">
        <v>11</v>
      </c>
      <c r="Q7">
        <v>0</v>
      </c>
      <c r="T7" t="s">
        <v>839</v>
      </c>
    </row>
    <row r="8" spans="1:21" x14ac:dyDescent="0.25">
      <c r="A8" t="s">
        <v>42</v>
      </c>
      <c r="B8" t="s">
        <v>868</v>
      </c>
      <c r="C8" t="s">
        <v>869</v>
      </c>
      <c r="D8" t="s">
        <v>853</v>
      </c>
      <c r="E8">
        <v>48</v>
      </c>
      <c r="F8">
        <v>379.2577</v>
      </c>
      <c r="G8">
        <v>774</v>
      </c>
      <c r="H8">
        <v>105</v>
      </c>
      <c r="I8">
        <v>0.7</v>
      </c>
      <c r="J8">
        <v>0.83</v>
      </c>
      <c r="K8">
        <v>0</v>
      </c>
      <c r="L8">
        <v>0.31236900000000001</v>
      </c>
      <c r="M8">
        <v>6</v>
      </c>
      <c r="N8">
        <v>6</v>
      </c>
      <c r="O8">
        <v>6</v>
      </c>
      <c r="P8">
        <v>6</v>
      </c>
      <c r="Q8">
        <v>0</v>
      </c>
      <c r="T8" t="s">
        <v>839</v>
      </c>
    </row>
    <row r="9" spans="1:21" x14ac:dyDescent="0.25">
      <c r="A9" t="s">
        <v>870</v>
      </c>
      <c r="B9" t="s">
        <v>871</v>
      </c>
      <c r="C9" t="s">
        <v>872</v>
      </c>
      <c r="D9" t="s">
        <v>853</v>
      </c>
      <c r="E9">
        <v>2</v>
      </c>
      <c r="F9">
        <v>2.16</v>
      </c>
      <c r="G9">
        <v>4.13</v>
      </c>
      <c r="H9">
        <v>3</v>
      </c>
      <c r="I9">
        <v>0.67</v>
      </c>
      <c r="J9">
        <v>0.51</v>
      </c>
      <c r="K9">
        <v>0</v>
      </c>
      <c r="L9">
        <v>1</v>
      </c>
      <c r="M9">
        <v>2</v>
      </c>
      <c r="N9">
        <v>2</v>
      </c>
      <c r="O9">
        <v>2</v>
      </c>
      <c r="P9">
        <v>2</v>
      </c>
      <c r="Q9">
        <v>0</v>
      </c>
      <c r="T9" t="s">
        <v>839</v>
      </c>
    </row>
    <row r="10" spans="1:21" x14ac:dyDescent="0.25">
      <c r="A10" t="s">
        <v>873</v>
      </c>
      <c r="B10" t="s">
        <v>874</v>
      </c>
      <c r="C10" t="s">
        <v>854</v>
      </c>
      <c r="D10" t="s">
        <v>853</v>
      </c>
      <c r="E10">
        <v>10</v>
      </c>
      <c r="F10">
        <v>14.616899999999999</v>
      </c>
      <c r="G10">
        <v>35</v>
      </c>
      <c r="H10">
        <v>20</v>
      </c>
      <c r="I10">
        <v>0.6</v>
      </c>
      <c r="J10">
        <v>1.32</v>
      </c>
      <c r="K10">
        <v>0</v>
      </c>
      <c r="L10">
        <v>0.90909099999999998</v>
      </c>
      <c r="M10">
        <v>12</v>
      </c>
      <c r="N10">
        <v>12</v>
      </c>
      <c r="O10">
        <v>12</v>
      </c>
      <c r="P10">
        <v>12</v>
      </c>
      <c r="Q10">
        <v>0</v>
      </c>
      <c r="T10" t="s">
        <v>839</v>
      </c>
    </row>
    <row r="11" spans="1:21" x14ac:dyDescent="0.25">
      <c r="A11" t="s">
        <v>43</v>
      </c>
      <c r="B11" t="s">
        <v>875</v>
      </c>
      <c r="C11" t="s">
        <v>876</v>
      </c>
      <c r="D11" t="s">
        <v>853</v>
      </c>
      <c r="E11">
        <v>12</v>
      </c>
      <c r="F11">
        <v>301.73</v>
      </c>
      <c r="G11">
        <v>694</v>
      </c>
      <c r="H11">
        <v>24</v>
      </c>
      <c r="I11">
        <v>0.57999999999999996</v>
      </c>
      <c r="J11">
        <v>1.1399999999999999</v>
      </c>
      <c r="K11">
        <v>0</v>
      </c>
      <c r="L11">
        <v>0.293103</v>
      </c>
      <c r="M11">
        <v>6</v>
      </c>
      <c r="N11">
        <v>6</v>
      </c>
      <c r="O11">
        <v>6</v>
      </c>
      <c r="P11">
        <v>6</v>
      </c>
      <c r="Q11">
        <v>0</v>
      </c>
      <c r="T11" t="s">
        <v>839</v>
      </c>
    </row>
    <row r="12" spans="1:21" x14ac:dyDescent="0.25">
      <c r="A12" t="s">
        <v>877</v>
      </c>
      <c r="B12" t="s">
        <v>878</v>
      </c>
      <c r="C12" t="s">
        <v>879</v>
      </c>
      <c r="D12" t="s">
        <v>853</v>
      </c>
      <c r="E12">
        <v>2</v>
      </c>
      <c r="F12">
        <v>20.21</v>
      </c>
      <c r="G12">
        <v>117</v>
      </c>
      <c r="H12">
        <v>2</v>
      </c>
      <c r="I12">
        <v>0.5</v>
      </c>
      <c r="J12">
        <v>0.86</v>
      </c>
      <c r="K12">
        <v>0</v>
      </c>
      <c r="L12">
        <v>1</v>
      </c>
      <c r="M12">
        <v>1</v>
      </c>
      <c r="N12">
        <v>1</v>
      </c>
      <c r="O12">
        <v>1</v>
      </c>
      <c r="P12">
        <v>1</v>
      </c>
      <c r="Q12">
        <v>0</v>
      </c>
      <c r="T12" t="s">
        <v>839</v>
      </c>
    </row>
    <row r="13" spans="1:21" x14ac:dyDescent="0.25">
      <c r="A13" t="s">
        <v>880</v>
      </c>
      <c r="B13" t="s">
        <v>881</v>
      </c>
      <c r="C13" t="s">
        <v>857</v>
      </c>
      <c r="D13" t="s">
        <v>853</v>
      </c>
      <c r="E13">
        <v>8</v>
      </c>
      <c r="F13">
        <v>141.1199</v>
      </c>
      <c r="G13">
        <v>273</v>
      </c>
      <c r="H13">
        <v>16</v>
      </c>
      <c r="I13">
        <v>0.38</v>
      </c>
      <c r="J13">
        <v>0.25</v>
      </c>
      <c r="K13">
        <v>0</v>
      </c>
      <c r="L13">
        <v>0.38888899999999998</v>
      </c>
      <c r="M13">
        <v>2</v>
      </c>
      <c r="N13">
        <v>2</v>
      </c>
      <c r="O13">
        <v>2</v>
      </c>
      <c r="P13">
        <v>2</v>
      </c>
      <c r="Q13">
        <v>0</v>
      </c>
      <c r="T13" t="s">
        <v>839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1267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27</v>
      </c>
      <c r="B1" t="s">
        <v>28</v>
      </c>
      <c r="C1" t="s">
        <v>29</v>
      </c>
    </row>
    <row r="2" spans="1:3" x14ac:dyDescent="0.25">
      <c r="C2" s="3"/>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44</v>
      </c>
      <c r="B1" t="s">
        <v>45</v>
      </c>
      <c r="C1" t="s">
        <v>46</v>
      </c>
      <c r="D1" t="s">
        <v>47</v>
      </c>
      <c r="E1" t="s">
        <v>48</v>
      </c>
      <c r="F1" t="s">
        <v>49</v>
      </c>
      <c r="G1" t="s">
        <v>50</v>
      </c>
      <c r="H1" t="s">
        <v>51</v>
      </c>
      <c r="I1" t="s">
        <v>52</v>
      </c>
    </row>
    <row r="2" spans="1:9" x14ac:dyDescent="0.25">
      <c r="A2" t="s">
        <v>216</v>
      </c>
      <c r="B2" t="s">
        <v>823</v>
      </c>
      <c r="C2" t="s">
        <v>54</v>
      </c>
      <c r="D2" t="s">
        <v>217</v>
      </c>
      <c r="E2" t="s">
        <v>824</v>
      </c>
      <c r="F2">
        <v>1</v>
      </c>
      <c r="G2" t="s">
        <v>63</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216</v>
      </c>
      <c r="B3" t="s">
        <v>823</v>
      </c>
      <c r="C3" t="s">
        <v>54</v>
      </c>
      <c r="D3" t="s">
        <v>218</v>
      </c>
      <c r="E3" t="s">
        <v>825</v>
      </c>
      <c r="F3">
        <v>5.0000000000000001E-3</v>
      </c>
      <c r="G3" t="s">
        <v>60</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216</v>
      </c>
      <c r="B4" t="s">
        <v>823</v>
      </c>
      <c r="C4" t="s">
        <v>54</v>
      </c>
      <c r="D4" t="s">
        <v>55</v>
      </c>
      <c r="E4" t="s">
        <v>56</v>
      </c>
      <c r="F4">
        <v>1</v>
      </c>
      <c r="G4" t="s">
        <v>57</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232</v>
      </c>
      <c r="B5" t="s">
        <v>826</v>
      </c>
      <c r="C5" t="s">
        <v>819</v>
      </c>
      <c r="D5" t="s">
        <v>233</v>
      </c>
      <c r="E5" t="s">
        <v>827</v>
      </c>
      <c r="F5">
        <v>1</v>
      </c>
      <c r="G5" t="s">
        <v>57</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232</v>
      </c>
      <c r="B6" t="s">
        <v>826</v>
      </c>
      <c r="C6" t="s">
        <v>819</v>
      </c>
      <c r="D6" t="s">
        <v>234</v>
      </c>
      <c r="E6" t="s">
        <v>828</v>
      </c>
      <c r="F6">
        <v>0.5</v>
      </c>
      <c r="G6" t="s">
        <v>54</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232</v>
      </c>
      <c r="B7" t="s">
        <v>826</v>
      </c>
      <c r="C7" t="s">
        <v>819</v>
      </c>
      <c r="D7" t="s">
        <v>183</v>
      </c>
      <c r="E7" t="s">
        <v>822</v>
      </c>
      <c r="F7">
        <v>1</v>
      </c>
      <c r="G7" t="s">
        <v>57</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235</v>
      </c>
      <c r="B8" t="s">
        <v>829</v>
      </c>
      <c r="C8" t="s">
        <v>818</v>
      </c>
      <c r="D8" t="s">
        <v>234</v>
      </c>
      <c r="E8" t="s">
        <v>828</v>
      </c>
      <c r="F8">
        <v>0.25</v>
      </c>
      <c r="G8" t="s">
        <v>54</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235</v>
      </c>
      <c r="B9" t="s">
        <v>829</v>
      </c>
      <c r="C9" t="s">
        <v>818</v>
      </c>
      <c r="D9" t="s">
        <v>160</v>
      </c>
      <c r="E9" t="s">
        <v>821</v>
      </c>
      <c r="F9">
        <v>1</v>
      </c>
      <c r="G9" t="s">
        <v>57</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235</v>
      </c>
      <c r="B10" t="s">
        <v>829</v>
      </c>
      <c r="C10" t="s">
        <v>818</v>
      </c>
      <c r="D10" t="s">
        <v>236</v>
      </c>
      <c r="E10" t="s">
        <v>830</v>
      </c>
      <c r="F10">
        <v>1</v>
      </c>
      <c r="G10" t="s">
        <v>57</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237</v>
      </c>
      <c r="B11" t="s">
        <v>831</v>
      </c>
      <c r="C11" t="s">
        <v>68</v>
      </c>
      <c r="D11" t="s">
        <v>238</v>
      </c>
      <c r="E11" t="s">
        <v>832</v>
      </c>
      <c r="F11">
        <v>1</v>
      </c>
      <c r="G11" t="s">
        <v>57</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237</v>
      </c>
      <c r="B12" t="s">
        <v>831</v>
      </c>
      <c r="C12" t="s">
        <v>68</v>
      </c>
      <c r="D12" t="s">
        <v>234</v>
      </c>
      <c r="E12" t="s">
        <v>828</v>
      </c>
      <c r="F12">
        <v>0.1</v>
      </c>
      <c r="G12" t="s">
        <v>54</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237</v>
      </c>
      <c r="B13" t="s">
        <v>831</v>
      </c>
      <c r="C13" t="s">
        <v>68</v>
      </c>
      <c r="D13" t="s">
        <v>148</v>
      </c>
      <c r="E13" t="s">
        <v>820</v>
      </c>
      <c r="F13">
        <v>1</v>
      </c>
      <c r="G13" t="s">
        <v>57</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239</v>
      </c>
      <c r="B14" t="s">
        <v>833</v>
      </c>
      <c r="C14" t="s">
        <v>54</v>
      </c>
      <c r="D14" t="s">
        <v>240</v>
      </c>
      <c r="E14" t="s">
        <v>834</v>
      </c>
      <c r="F14">
        <v>1</v>
      </c>
      <c r="G14" t="s">
        <v>57</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239</v>
      </c>
      <c r="B15" t="s">
        <v>833</v>
      </c>
      <c r="C15" t="s">
        <v>54</v>
      </c>
      <c r="D15" t="s">
        <v>234</v>
      </c>
      <c r="E15" t="s">
        <v>828</v>
      </c>
      <c r="F15">
        <v>1</v>
      </c>
      <c r="G15" t="s">
        <v>54</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239</v>
      </c>
      <c r="B16" t="s">
        <v>833</v>
      </c>
      <c r="C16" t="s">
        <v>54</v>
      </c>
      <c r="D16" t="s">
        <v>55</v>
      </c>
      <c r="E16" t="s">
        <v>56</v>
      </c>
      <c r="F16">
        <v>1</v>
      </c>
      <c r="G16" t="s">
        <v>57</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629</v>
      </c>
      <c r="B17" t="s">
        <v>850</v>
      </c>
      <c r="C17" t="s">
        <v>54</v>
      </c>
      <c r="D17" t="s">
        <v>246</v>
      </c>
      <c r="E17" t="s">
        <v>835</v>
      </c>
      <c r="F17">
        <v>5.0000000000000001E-3</v>
      </c>
      <c r="G17" t="s">
        <v>60</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629</v>
      </c>
      <c r="B18" t="s">
        <v>850</v>
      </c>
      <c r="C18" t="s">
        <v>54</v>
      </c>
      <c r="D18" t="s">
        <v>55</v>
      </c>
      <c r="E18" t="s">
        <v>56</v>
      </c>
      <c r="F18">
        <v>1</v>
      </c>
      <c r="G18" t="s">
        <v>57</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629</v>
      </c>
      <c r="B19" t="s">
        <v>850</v>
      </c>
      <c r="C19" t="s">
        <v>54</v>
      </c>
      <c r="D19" t="s">
        <v>278</v>
      </c>
      <c r="E19" t="s">
        <v>836</v>
      </c>
      <c r="F19">
        <v>1</v>
      </c>
      <c r="G19" t="s">
        <v>57</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389</v>
      </c>
      <c r="B20" t="s">
        <v>390</v>
      </c>
      <c r="C20" t="s">
        <v>110</v>
      </c>
      <c r="D20" t="s">
        <v>391</v>
      </c>
      <c r="E20" t="s">
        <v>392</v>
      </c>
      <c r="F20">
        <v>1</v>
      </c>
      <c r="G20" t="s">
        <v>57</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389</v>
      </c>
      <c r="B21" t="s">
        <v>390</v>
      </c>
      <c r="C21" t="s">
        <v>110</v>
      </c>
      <c r="D21" t="s">
        <v>393</v>
      </c>
      <c r="E21" t="s">
        <v>394</v>
      </c>
      <c r="F21">
        <v>1</v>
      </c>
      <c r="G21" t="s">
        <v>110</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389</v>
      </c>
      <c r="B22" t="s">
        <v>390</v>
      </c>
      <c r="C22" t="s">
        <v>110</v>
      </c>
      <c r="D22" t="s">
        <v>165</v>
      </c>
      <c r="E22" t="s">
        <v>166</v>
      </c>
      <c r="F22">
        <v>1</v>
      </c>
      <c r="G22" t="s">
        <v>57</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396</v>
      </c>
      <c r="B23" t="s">
        <v>397</v>
      </c>
      <c r="C23" t="s">
        <v>110</v>
      </c>
      <c r="D23" t="s">
        <v>398</v>
      </c>
      <c r="E23" t="s">
        <v>399</v>
      </c>
      <c r="F23">
        <v>1</v>
      </c>
      <c r="G23" t="s">
        <v>57</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396</v>
      </c>
      <c r="B24" t="s">
        <v>397</v>
      </c>
      <c r="C24" t="s">
        <v>110</v>
      </c>
      <c r="D24" t="s">
        <v>400</v>
      </c>
      <c r="E24" t="s">
        <v>401</v>
      </c>
      <c r="F24">
        <v>1</v>
      </c>
      <c r="G24" t="s">
        <v>110</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3" sqref="A3"/>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606</v>
      </c>
    </row>
    <row r="3" spans="1:7" x14ac:dyDescent="0.25">
      <c r="A3" s="8" t="s">
        <v>607</v>
      </c>
      <c r="B3" s="8" t="s">
        <v>608</v>
      </c>
      <c r="C3" t="s">
        <v>609</v>
      </c>
      <c r="D3" s="9" t="s">
        <v>817</v>
      </c>
    </row>
    <row r="4" spans="1:7" x14ac:dyDescent="0.25">
      <c r="A4" t="s">
        <v>400</v>
      </c>
      <c r="B4" t="s">
        <v>401</v>
      </c>
      <c r="C4" s="3">
        <v>0</v>
      </c>
      <c r="D4" t="str">
        <f>IFERROR(INDEX(Tabla_MPyPT[NombreGrupo],MATCH(A4,Tabla_MPyPT[CodigoVentaproducto],0),1),"")</f>
        <v xml:space="preserve">MATERIA PRIMA </v>
      </c>
    </row>
    <row r="5" spans="1:7" x14ac:dyDescent="0.25">
      <c r="A5" t="s">
        <v>393</v>
      </c>
      <c r="B5" t="s">
        <v>394</v>
      </c>
      <c r="C5" s="3">
        <v>0</v>
      </c>
      <c r="D5" t="str">
        <f>IFERROR(INDEX(Tabla_MPyPT[NombreGrupo],MATCH(A5,Tabla_MPyPT[CodigoVentaproducto],0),1),"")</f>
        <v xml:space="preserve">MATERIA PRIMA </v>
      </c>
    </row>
    <row r="6" spans="1:7" x14ac:dyDescent="0.25">
      <c r="A6" t="s">
        <v>218</v>
      </c>
      <c r="B6" t="s">
        <v>825</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234</v>
      </c>
      <c r="B7" t="s">
        <v>828</v>
      </c>
      <c r="C7" s="3">
        <v>0</v>
      </c>
      <c r="D7" t="str">
        <f>IFERROR(INDEX(Tabla_MPyPT[NombreGrupo],MATCH(A7,Tabla_MPyPT[CodigoVentaproducto],0),1),"")</f>
        <v xml:space="preserve">MATERIA PRIMA </v>
      </c>
    </row>
    <row r="8" spans="1:7" x14ac:dyDescent="0.25">
      <c r="A8" t="s">
        <v>246</v>
      </c>
      <c r="B8" t="s">
        <v>835</v>
      </c>
      <c r="C8" s="3">
        <v>0</v>
      </c>
      <c r="D8" t="str">
        <f>IFERROR(INDEX(Tabla_MPyPT[NombreGrupo],MATCH(A8,Tabla_MPyPT[CodigoVentaproducto],0),1),"")</f>
        <v>MATERIA PRIMA</v>
      </c>
    </row>
    <row r="9" spans="1:7" x14ac:dyDescent="0.25">
      <c r="A9" t="s">
        <v>391</v>
      </c>
      <c r="B9" t="s">
        <v>392</v>
      </c>
      <c r="C9" s="3">
        <v>0</v>
      </c>
      <c r="D9" t="str">
        <f>IFERROR(INDEX(Tabla_MPyPT[NombreGrupo],MATCH(A9,Tabla_MPyPT[CodigoVentaproducto],0),1),"")</f>
        <v>MATERIA PRIMA</v>
      </c>
    </row>
    <row r="10" spans="1:7" x14ac:dyDescent="0.25">
      <c r="A10" t="s">
        <v>217</v>
      </c>
      <c r="B10" t="s">
        <v>824</v>
      </c>
      <c r="C10" s="3">
        <v>0</v>
      </c>
      <c r="D10" t="str">
        <f>IFERROR(INDEX(Tabla_MPyPT[NombreGrupo],MATCH(A10,Tabla_MPyPT[CodigoVentaproducto],0),1),"")</f>
        <v>MATERIA PRIMA</v>
      </c>
    </row>
    <row r="11" spans="1:7" x14ac:dyDescent="0.25">
      <c r="A11" t="s">
        <v>278</v>
      </c>
      <c r="B11" t="s">
        <v>836</v>
      </c>
      <c r="C11" s="3">
        <v>0</v>
      </c>
      <c r="D11" t="str">
        <f>IFERROR(INDEX(Tabla_MPyPT[NombreGrupo],MATCH(A11,Tabla_MPyPT[CodigoVentaproducto],0),1),"")</f>
        <v>MATERIA PRIMA</v>
      </c>
    </row>
    <row r="12" spans="1:7" x14ac:dyDescent="0.25">
      <c r="A12" t="s">
        <v>236</v>
      </c>
      <c r="B12" t="s">
        <v>830</v>
      </c>
      <c r="C12" s="3">
        <v>0</v>
      </c>
      <c r="D12" t="str">
        <f>IFERROR(INDEX(Tabla_MPyPT[NombreGrupo],MATCH(A12,Tabla_MPyPT[CodigoVentaproducto],0),1),"")</f>
        <v>MATERIA PRIMA</v>
      </c>
    </row>
    <row r="13" spans="1:7" x14ac:dyDescent="0.25">
      <c r="A13" t="s">
        <v>233</v>
      </c>
      <c r="B13" t="s">
        <v>827</v>
      </c>
      <c r="C13" s="3">
        <v>0</v>
      </c>
      <c r="D13" t="str">
        <f>IFERROR(INDEX(Tabla_MPyPT[NombreGrupo],MATCH(A13,Tabla_MPyPT[CodigoVentaproducto],0),1),"")</f>
        <v>MATERIA PRIMA</v>
      </c>
    </row>
    <row r="14" spans="1:7" x14ac:dyDescent="0.25">
      <c r="A14" t="s">
        <v>238</v>
      </c>
      <c r="B14" t="s">
        <v>832</v>
      </c>
      <c r="C14" s="3">
        <v>0</v>
      </c>
      <c r="D14" t="str">
        <f>IFERROR(INDEX(Tabla_MPyPT[NombreGrupo],MATCH(A14,Tabla_MPyPT[CodigoVentaproducto],0),1),"")</f>
        <v>MATERIA PRIMA</v>
      </c>
    </row>
    <row r="15" spans="1:7" x14ac:dyDescent="0.25">
      <c r="A15" t="s">
        <v>240</v>
      </c>
      <c r="B15" t="s">
        <v>834</v>
      </c>
      <c r="C15" s="3">
        <v>0</v>
      </c>
      <c r="D15" t="str">
        <f>IFERROR(INDEX(Tabla_MPyPT[NombreGrupo],MATCH(A15,Tabla_MPyPT[CodigoVentaproducto],0),1),"")</f>
        <v>MATERIA PRIMA</v>
      </c>
    </row>
    <row r="16" spans="1:7" x14ac:dyDescent="0.25">
      <c r="A16" t="s">
        <v>165</v>
      </c>
      <c r="B16" t="s">
        <v>166</v>
      </c>
      <c r="C16" s="3">
        <v>0</v>
      </c>
      <c r="D16" t="str">
        <f>IFERROR(INDEX(Tabla_MPyPT[NombreGrupo],MATCH(A16,Tabla_MPyPT[CodigoVentaproducto],0),1),"")</f>
        <v xml:space="preserve">MATERIA PRIMA </v>
      </c>
    </row>
    <row r="17" spans="1:4" x14ac:dyDescent="0.25">
      <c r="A17" t="s">
        <v>55</v>
      </c>
      <c r="B17" t="s">
        <v>56</v>
      </c>
      <c r="C17" s="3">
        <v>0</v>
      </c>
      <c r="D17" t="str">
        <f>IFERROR(INDEX(Tabla_MPyPT[NombreGrupo],MATCH(A17,Tabla_MPyPT[CodigoVentaproducto],0),1),"")</f>
        <v xml:space="preserve">MATERIA PRIMA </v>
      </c>
    </row>
    <row r="18" spans="1:4" x14ac:dyDescent="0.25">
      <c r="A18" t="s">
        <v>183</v>
      </c>
      <c r="B18" t="s">
        <v>822</v>
      </c>
      <c r="C18" s="3">
        <v>0</v>
      </c>
      <c r="D18" t="str">
        <f>IFERROR(INDEX(Tabla_MPyPT[NombreGrupo],MATCH(A18,Tabla_MPyPT[CodigoVentaproducto],0),1),"")</f>
        <v xml:space="preserve">MATERIA PRIMA </v>
      </c>
    </row>
    <row r="19" spans="1:4" x14ac:dyDescent="0.25">
      <c r="A19" t="s">
        <v>160</v>
      </c>
      <c r="B19" t="s">
        <v>821</v>
      </c>
      <c r="C19" s="3">
        <v>0</v>
      </c>
      <c r="D19" t="str">
        <f>IFERROR(INDEX(Tabla_MPyPT[NombreGrupo],MATCH(A19,Tabla_MPyPT[CodigoVentaproducto],0),1),"")</f>
        <v xml:space="preserve">MATERIA PRIMA </v>
      </c>
    </row>
    <row r="20" spans="1:4" x14ac:dyDescent="0.25">
      <c r="A20" t="s">
        <v>148</v>
      </c>
      <c r="B20" t="s">
        <v>820</v>
      </c>
      <c r="C20" s="3">
        <v>0</v>
      </c>
      <c r="D20" t="str">
        <f>IFERROR(INDEX(Tabla_MPyPT[NombreGrupo],MATCH(A20,Tabla_MPyPT[CodigoVentaproducto],0),1),"")</f>
        <v xml:space="preserve">MATERIA PRIMA </v>
      </c>
    </row>
    <row r="21" spans="1:4" x14ac:dyDescent="0.25">
      <c r="A21" t="s">
        <v>398</v>
      </c>
      <c r="B21" t="s">
        <v>399</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610</v>
      </c>
      <c r="B1" t="s">
        <v>611</v>
      </c>
    </row>
    <row r="2" spans="1:2" x14ac:dyDescent="0.25">
      <c r="A2" t="s">
        <v>612</v>
      </c>
      <c r="B2" t="s">
        <v>613</v>
      </c>
    </row>
    <row r="3" spans="1:2" x14ac:dyDescent="0.25">
      <c r="A3" t="s">
        <v>614</v>
      </c>
      <c r="B3" t="s">
        <v>613</v>
      </c>
    </row>
    <row r="4" spans="1:2" x14ac:dyDescent="0.25">
      <c r="A4" t="s">
        <v>615</v>
      </c>
      <c r="B4" t="s">
        <v>613</v>
      </c>
    </row>
    <row r="5" spans="1:2" x14ac:dyDescent="0.25">
      <c r="A5" t="s">
        <v>616</v>
      </c>
      <c r="B5" t="s">
        <v>617</v>
      </c>
    </row>
    <row r="6" spans="1:2" x14ac:dyDescent="0.25">
      <c r="A6" t="s">
        <v>164</v>
      </c>
      <c r="B6" t="s">
        <v>617</v>
      </c>
    </row>
    <row r="7" spans="1:2" x14ac:dyDescent="0.25">
      <c r="A7" t="s">
        <v>618</v>
      </c>
      <c r="B7" t="s">
        <v>617</v>
      </c>
    </row>
    <row r="8" spans="1:2" x14ac:dyDescent="0.25">
      <c r="A8" t="s">
        <v>53</v>
      </c>
      <c r="B8" t="s">
        <v>619</v>
      </c>
    </row>
    <row r="9" spans="1:2" x14ac:dyDescent="0.25">
      <c r="A9" t="s">
        <v>620</v>
      </c>
      <c r="B9" t="s">
        <v>617</v>
      </c>
    </row>
    <row r="10" spans="1:2" x14ac:dyDescent="0.25">
      <c r="A10" t="s">
        <v>61</v>
      </c>
      <c r="B10" t="s">
        <v>617</v>
      </c>
    </row>
    <row r="11" spans="1:2" x14ac:dyDescent="0.25">
      <c r="A11" t="s">
        <v>62</v>
      </c>
      <c r="B11" t="s">
        <v>617</v>
      </c>
    </row>
    <row r="12" spans="1:2" x14ac:dyDescent="0.25">
      <c r="A12" t="s">
        <v>137</v>
      </c>
      <c r="B12" t="s">
        <v>619</v>
      </c>
    </row>
    <row r="13" spans="1:2" x14ac:dyDescent="0.25">
      <c r="A13" t="s">
        <v>141</v>
      </c>
      <c r="B13" t="s">
        <v>619</v>
      </c>
    </row>
    <row r="14" spans="1:2" x14ac:dyDescent="0.25">
      <c r="A14" t="s">
        <v>143</v>
      </c>
      <c r="B14" t="s">
        <v>613</v>
      </c>
    </row>
    <row r="15" spans="1:2" x14ac:dyDescent="0.25">
      <c r="A15" t="s">
        <v>146</v>
      </c>
      <c r="B15" t="s">
        <v>619</v>
      </c>
    </row>
    <row r="16" spans="1:2" x14ac:dyDescent="0.25">
      <c r="A16" t="s">
        <v>149</v>
      </c>
      <c r="B16" t="s">
        <v>621</v>
      </c>
    </row>
    <row r="17" spans="1:2" x14ac:dyDescent="0.25">
      <c r="A17" t="s">
        <v>140</v>
      </c>
      <c r="B17" t="s">
        <v>619</v>
      </c>
    </row>
    <row r="18" spans="1:2" x14ac:dyDescent="0.25">
      <c r="A18" t="s">
        <v>622</v>
      </c>
      <c r="B18" t="s">
        <v>621</v>
      </c>
    </row>
    <row r="19" spans="1:2" x14ac:dyDescent="0.25">
      <c r="A19" t="s">
        <v>153</v>
      </c>
      <c r="B19" t="s">
        <v>621</v>
      </c>
    </row>
    <row r="20" spans="1:2" x14ac:dyDescent="0.25">
      <c r="A20" t="s">
        <v>157</v>
      </c>
      <c r="B20" t="s">
        <v>621</v>
      </c>
    </row>
    <row r="21" spans="1:2" x14ac:dyDescent="0.25">
      <c r="A21" t="s">
        <v>623</v>
      </c>
      <c r="B21" t="s">
        <v>613</v>
      </c>
    </row>
    <row r="22" spans="1:2" x14ac:dyDescent="0.25">
      <c r="A22" t="s">
        <v>624</v>
      </c>
      <c r="B22" t="s">
        <v>621</v>
      </c>
    </row>
    <row r="23" spans="1:2" x14ac:dyDescent="0.25">
      <c r="A23" t="s">
        <v>625</v>
      </c>
      <c r="B23" t="s">
        <v>613</v>
      </c>
    </row>
    <row r="24" spans="1:2" x14ac:dyDescent="0.25">
      <c r="A24" t="s">
        <v>92</v>
      </c>
      <c r="B24" t="s">
        <v>621</v>
      </c>
    </row>
    <row r="25" spans="1:2" x14ac:dyDescent="0.25">
      <c r="A25" t="s">
        <v>161</v>
      </c>
      <c r="B25" t="s">
        <v>621</v>
      </c>
    </row>
    <row r="26" spans="1:2" x14ac:dyDescent="0.25">
      <c r="A26" t="s">
        <v>162</v>
      </c>
      <c r="B26" t="s">
        <v>621</v>
      </c>
    </row>
    <row r="27" spans="1:2" x14ac:dyDescent="0.25">
      <c r="A27" t="s">
        <v>626</v>
      </c>
      <c r="B27" t="s">
        <v>613</v>
      </c>
    </row>
    <row r="28" spans="1:2" x14ac:dyDescent="0.25">
      <c r="A28" t="s">
        <v>163</v>
      </c>
      <c r="B28" t="s">
        <v>621</v>
      </c>
    </row>
    <row r="29" spans="1:2" x14ac:dyDescent="0.25">
      <c r="A29" t="s">
        <v>627</v>
      </c>
      <c r="B29" t="s">
        <v>613</v>
      </c>
    </row>
    <row r="30" spans="1:2" x14ac:dyDescent="0.25">
      <c r="A30" t="s">
        <v>170</v>
      </c>
      <c r="B30" t="s">
        <v>617</v>
      </c>
    </row>
    <row r="31" spans="1:2" x14ac:dyDescent="0.25">
      <c r="A31" t="s">
        <v>454</v>
      </c>
      <c r="B31" t="s">
        <v>617</v>
      </c>
    </row>
    <row r="32" spans="1:2" x14ac:dyDescent="0.25">
      <c r="A32" t="s">
        <v>94</v>
      </c>
      <c r="B32" t="s">
        <v>621</v>
      </c>
    </row>
    <row r="33" spans="1:2" x14ac:dyDescent="0.25">
      <c r="A33" t="s">
        <v>103</v>
      </c>
      <c r="B33" t="s">
        <v>621</v>
      </c>
    </row>
    <row r="34" spans="1:2" x14ac:dyDescent="0.25">
      <c r="A34" t="s">
        <v>628</v>
      </c>
      <c r="B34" t="s">
        <v>619</v>
      </c>
    </row>
    <row r="35" spans="1:2" x14ac:dyDescent="0.25">
      <c r="A35" t="s">
        <v>185</v>
      </c>
      <c r="B35" t="s">
        <v>621</v>
      </c>
    </row>
    <row r="36" spans="1:2" x14ac:dyDescent="0.25">
      <c r="A36" t="s">
        <v>189</v>
      </c>
      <c r="B36" t="s">
        <v>621</v>
      </c>
    </row>
    <row r="37" spans="1:2" x14ac:dyDescent="0.25">
      <c r="A37" t="s">
        <v>193</v>
      </c>
      <c r="B37" t="s">
        <v>619</v>
      </c>
    </row>
    <row r="38" spans="1:2" x14ac:dyDescent="0.25">
      <c r="A38" t="s">
        <v>197</v>
      </c>
      <c r="B38" t="s">
        <v>621</v>
      </c>
    </row>
    <row r="39" spans="1:2" x14ac:dyDescent="0.25">
      <c r="A39" t="s">
        <v>127</v>
      </c>
      <c r="B39" t="s">
        <v>621</v>
      </c>
    </row>
    <row r="40" spans="1:2" x14ac:dyDescent="0.25">
      <c r="A40" t="s">
        <v>201</v>
      </c>
      <c r="B40" t="s">
        <v>621</v>
      </c>
    </row>
    <row r="41" spans="1:2" x14ac:dyDescent="0.25">
      <c r="A41" t="s">
        <v>202</v>
      </c>
      <c r="B41" t="s">
        <v>621</v>
      </c>
    </row>
    <row r="42" spans="1:2" x14ac:dyDescent="0.25">
      <c r="A42" t="s">
        <v>205</v>
      </c>
      <c r="B42" t="s">
        <v>621</v>
      </c>
    </row>
    <row r="43" spans="1:2" x14ac:dyDescent="0.25">
      <c r="A43" t="s">
        <v>130</v>
      </c>
      <c r="B43" t="s">
        <v>621</v>
      </c>
    </row>
    <row r="44" spans="1:2" x14ac:dyDescent="0.25">
      <c r="A44" t="s">
        <v>210</v>
      </c>
      <c r="B44" t="s">
        <v>619</v>
      </c>
    </row>
    <row r="45" spans="1:2" x14ac:dyDescent="0.25">
      <c r="A45" t="s">
        <v>211</v>
      </c>
      <c r="B45" t="s">
        <v>621</v>
      </c>
    </row>
    <row r="46" spans="1:2" x14ac:dyDescent="0.25">
      <c r="A46" t="s">
        <v>214</v>
      </c>
      <c r="B46" t="s">
        <v>619</v>
      </c>
    </row>
    <row r="47" spans="1:2" x14ac:dyDescent="0.25">
      <c r="A47" t="s">
        <v>216</v>
      </c>
      <c r="B47" t="s">
        <v>621</v>
      </c>
    </row>
    <row r="48" spans="1:2" x14ac:dyDescent="0.25">
      <c r="A48" t="s">
        <v>219</v>
      </c>
      <c r="B48" t="s">
        <v>621</v>
      </c>
    </row>
    <row r="49" spans="1:2" x14ac:dyDescent="0.25">
      <c r="A49" t="s">
        <v>97</v>
      </c>
      <c r="B49" t="s">
        <v>621</v>
      </c>
    </row>
    <row r="50" spans="1:2" x14ac:dyDescent="0.25">
      <c r="A50" t="s">
        <v>174</v>
      </c>
      <c r="B50" t="s">
        <v>619</v>
      </c>
    </row>
    <row r="51" spans="1:2" x14ac:dyDescent="0.25">
      <c r="A51" t="s">
        <v>134</v>
      </c>
      <c r="B51" t="s">
        <v>621</v>
      </c>
    </row>
    <row r="52" spans="1:2" x14ac:dyDescent="0.25">
      <c r="A52" t="s">
        <v>228</v>
      </c>
      <c r="B52" t="s">
        <v>619</v>
      </c>
    </row>
    <row r="53" spans="1:2" x14ac:dyDescent="0.25">
      <c r="A53" t="s">
        <v>230</v>
      </c>
      <c r="B53" t="s">
        <v>619</v>
      </c>
    </row>
    <row r="54" spans="1:2" x14ac:dyDescent="0.25">
      <c r="A54" t="s">
        <v>241</v>
      </c>
      <c r="B54" t="s">
        <v>619</v>
      </c>
    </row>
    <row r="55" spans="1:2" x14ac:dyDescent="0.25">
      <c r="A55" t="s">
        <v>243</v>
      </c>
      <c r="B55" t="s">
        <v>619</v>
      </c>
    </row>
    <row r="56" spans="1:2" x14ac:dyDescent="0.25">
      <c r="A56" t="s">
        <v>245</v>
      </c>
      <c r="B56" t="s">
        <v>621</v>
      </c>
    </row>
    <row r="57" spans="1:2" x14ac:dyDescent="0.25">
      <c r="A57" t="s">
        <v>248</v>
      </c>
      <c r="B57" t="s">
        <v>621</v>
      </c>
    </row>
    <row r="58" spans="1:2" x14ac:dyDescent="0.25">
      <c r="A58" t="s">
        <v>252</v>
      </c>
      <c r="B58" t="s">
        <v>621</v>
      </c>
    </row>
    <row r="59" spans="1:2" x14ac:dyDescent="0.25">
      <c r="A59" t="s">
        <v>255</v>
      </c>
      <c r="B59" t="s">
        <v>619</v>
      </c>
    </row>
    <row r="60" spans="1:2" x14ac:dyDescent="0.25">
      <c r="A60" t="s">
        <v>258</v>
      </c>
      <c r="B60" t="s">
        <v>619</v>
      </c>
    </row>
    <row r="61" spans="1:2" x14ac:dyDescent="0.25">
      <c r="A61" t="s">
        <v>107</v>
      </c>
      <c r="B61" t="s">
        <v>619</v>
      </c>
    </row>
    <row r="62" spans="1:2" x14ac:dyDescent="0.25">
      <c r="A62" t="s">
        <v>262</v>
      </c>
      <c r="B62" t="s">
        <v>619</v>
      </c>
    </row>
    <row r="63" spans="1:2" x14ac:dyDescent="0.25">
      <c r="A63" t="s">
        <v>266</v>
      </c>
      <c r="B63" t="s">
        <v>619</v>
      </c>
    </row>
    <row r="64" spans="1:2" x14ac:dyDescent="0.25">
      <c r="A64" t="s">
        <v>79</v>
      </c>
      <c r="B64" t="s">
        <v>619</v>
      </c>
    </row>
    <row r="65" spans="1:2" x14ac:dyDescent="0.25">
      <c r="A65" t="s">
        <v>271</v>
      </c>
      <c r="B65" t="s">
        <v>619</v>
      </c>
    </row>
    <row r="66" spans="1:2" x14ac:dyDescent="0.25">
      <c r="A66" t="s">
        <v>274</v>
      </c>
      <c r="B66" t="s">
        <v>619</v>
      </c>
    </row>
    <row r="67" spans="1:2" x14ac:dyDescent="0.25">
      <c r="A67" t="s">
        <v>276</v>
      </c>
      <c r="B67" t="s">
        <v>619</v>
      </c>
    </row>
    <row r="68" spans="1:2" x14ac:dyDescent="0.25">
      <c r="A68" t="s">
        <v>629</v>
      </c>
      <c r="B68" t="s">
        <v>621</v>
      </c>
    </row>
    <row r="69" spans="1:2" x14ac:dyDescent="0.25">
      <c r="A69" t="s">
        <v>281</v>
      </c>
      <c r="B69" t="s">
        <v>621</v>
      </c>
    </row>
    <row r="70" spans="1:2" x14ac:dyDescent="0.25">
      <c r="A70" t="s">
        <v>282</v>
      </c>
      <c r="B70" t="s">
        <v>621</v>
      </c>
    </row>
    <row r="71" spans="1:2" x14ac:dyDescent="0.25">
      <c r="A71" t="s">
        <v>284</v>
      </c>
      <c r="B71" t="s">
        <v>619</v>
      </c>
    </row>
    <row r="72" spans="1:2" x14ac:dyDescent="0.25">
      <c r="A72" t="s">
        <v>285</v>
      </c>
      <c r="B72" t="s">
        <v>621</v>
      </c>
    </row>
    <row r="73" spans="1:2" x14ac:dyDescent="0.25">
      <c r="A73" t="s">
        <v>111</v>
      </c>
      <c r="B73" t="s">
        <v>621</v>
      </c>
    </row>
    <row r="74" spans="1:2" x14ac:dyDescent="0.25">
      <c r="A74" t="s">
        <v>290</v>
      </c>
      <c r="B74" t="s">
        <v>619</v>
      </c>
    </row>
    <row r="75" spans="1:2" x14ac:dyDescent="0.25">
      <c r="A75" t="s">
        <v>297</v>
      </c>
      <c r="B75" t="s">
        <v>621</v>
      </c>
    </row>
    <row r="76" spans="1:2" x14ac:dyDescent="0.25">
      <c r="A76" t="s">
        <v>300</v>
      </c>
      <c r="B76" t="s">
        <v>619</v>
      </c>
    </row>
    <row r="77" spans="1:2" x14ac:dyDescent="0.25">
      <c r="A77" t="s">
        <v>302</v>
      </c>
      <c r="B77" t="s">
        <v>621</v>
      </c>
    </row>
    <row r="78" spans="1:2" x14ac:dyDescent="0.25">
      <c r="A78" t="s">
        <v>304</v>
      </c>
      <c r="B78" t="s">
        <v>621</v>
      </c>
    </row>
    <row r="79" spans="1:2" x14ac:dyDescent="0.25">
      <c r="A79" t="s">
        <v>306</v>
      </c>
      <c r="B79" t="s">
        <v>619</v>
      </c>
    </row>
    <row r="80" spans="1:2" x14ac:dyDescent="0.25">
      <c r="A80" t="s">
        <v>308</v>
      </c>
      <c r="B80" t="s">
        <v>619</v>
      </c>
    </row>
    <row r="81" spans="1:2" x14ac:dyDescent="0.25">
      <c r="A81" t="s">
        <v>319</v>
      </c>
      <c r="B81" t="s">
        <v>619</v>
      </c>
    </row>
    <row r="82" spans="1:2" x14ac:dyDescent="0.25">
      <c r="A82" t="s">
        <v>91</v>
      </c>
      <c r="B82" t="s">
        <v>621</v>
      </c>
    </row>
    <row r="83" spans="1:2" x14ac:dyDescent="0.25">
      <c r="A83" t="s">
        <v>630</v>
      </c>
      <c r="B83" t="s">
        <v>621</v>
      </c>
    </row>
    <row r="84" spans="1:2" x14ac:dyDescent="0.25">
      <c r="A84" t="s">
        <v>328</v>
      </c>
      <c r="B84" t="s">
        <v>619</v>
      </c>
    </row>
    <row r="85" spans="1:2" x14ac:dyDescent="0.25">
      <c r="A85" t="s">
        <v>74</v>
      </c>
      <c r="B85" t="s">
        <v>621</v>
      </c>
    </row>
    <row r="86" spans="1:2" x14ac:dyDescent="0.25">
      <c r="A86" t="s">
        <v>337</v>
      </c>
      <c r="B86" t="s">
        <v>619</v>
      </c>
    </row>
    <row r="87" spans="1:2" x14ac:dyDescent="0.25">
      <c r="A87" t="s">
        <v>67</v>
      </c>
      <c r="B87" t="s">
        <v>621</v>
      </c>
    </row>
    <row r="88" spans="1:2" x14ac:dyDescent="0.25">
      <c r="A88" t="s">
        <v>344</v>
      </c>
      <c r="B88" t="s">
        <v>619</v>
      </c>
    </row>
    <row r="89" spans="1:2" x14ac:dyDescent="0.25">
      <c r="A89" t="s">
        <v>96</v>
      </c>
      <c r="B89" t="s">
        <v>621</v>
      </c>
    </row>
    <row r="90" spans="1:2" x14ac:dyDescent="0.25">
      <c r="A90" t="s">
        <v>349</v>
      </c>
      <c r="B90" t="s">
        <v>621</v>
      </c>
    </row>
    <row r="91" spans="1:2" x14ac:dyDescent="0.25">
      <c r="A91" t="s">
        <v>352</v>
      </c>
      <c r="B91" t="s">
        <v>621</v>
      </c>
    </row>
    <row r="92" spans="1:2" x14ac:dyDescent="0.25">
      <c r="A92" t="s">
        <v>356</v>
      </c>
      <c r="B92" t="s">
        <v>621</v>
      </c>
    </row>
    <row r="93" spans="1:2" x14ac:dyDescent="0.25">
      <c r="A93" t="s">
        <v>358</v>
      </c>
      <c r="B93" t="s">
        <v>621</v>
      </c>
    </row>
    <row r="94" spans="1:2" x14ac:dyDescent="0.25">
      <c r="A94" t="s">
        <v>362</v>
      </c>
      <c r="B94" t="s">
        <v>621</v>
      </c>
    </row>
    <row r="95" spans="1:2" x14ac:dyDescent="0.25">
      <c r="A95" t="s">
        <v>381</v>
      </c>
      <c r="B95" t="s">
        <v>619</v>
      </c>
    </row>
    <row r="96" spans="1:2" x14ac:dyDescent="0.25">
      <c r="A96" t="s">
        <v>102</v>
      </c>
      <c r="B96" t="s">
        <v>621</v>
      </c>
    </row>
    <row r="97" spans="1:2" x14ac:dyDescent="0.25">
      <c r="A97" t="s">
        <v>389</v>
      </c>
      <c r="B97" t="s">
        <v>621</v>
      </c>
    </row>
    <row r="98" spans="1:2" x14ac:dyDescent="0.25">
      <c r="A98" t="s">
        <v>396</v>
      </c>
      <c r="B98" t="s">
        <v>621</v>
      </c>
    </row>
    <row r="99" spans="1:2" x14ac:dyDescent="0.25">
      <c r="A99" t="s">
        <v>109</v>
      </c>
      <c r="B99" t="s">
        <v>621</v>
      </c>
    </row>
    <row r="100" spans="1:2" x14ac:dyDescent="0.25">
      <c r="A100" t="s">
        <v>404</v>
      </c>
      <c r="B100" t="s">
        <v>621</v>
      </c>
    </row>
    <row r="101" spans="1:2" x14ac:dyDescent="0.25">
      <c r="A101" t="s">
        <v>90</v>
      </c>
      <c r="B101" t="s">
        <v>619</v>
      </c>
    </row>
    <row r="102" spans="1:2" x14ac:dyDescent="0.25">
      <c r="A102" t="s">
        <v>407</v>
      </c>
      <c r="B102" t="s">
        <v>621</v>
      </c>
    </row>
    <row r="103" spans="1:2" x14ac:dyDescent="0.25">
      <c r="A103" t="s">
        <v>409</v>
      </c>
      <c r="B103" t="s">
        <v>621</v>
      </c>
    </row>
    <row r="104" spans="1:2" x14ac:dyDescent="0.25">
      <c r="A104" t="s">
        <v>413</v>
      </c>
      <c r="B104" t="s">
        <v>619</v>
      </c>
    </row>
    <row r="105" spans="1:2" x14ac:dyDescent="0.25">
      <c r="A105" t="s">
        <v>124</v>
      </c>
      <c r="B105" t="s">
        <v>619</v>
      </c>
    </row>
    <row r="106" spans="1:2" x14ac:dyDescent="0.25">
      <c r="A106" t="s">
        <v>416</v>
      </c>
      <c r="B106" t="s">
        <v>619</v>
      </c>
    </row>
    <row r="107" spans="1:2" x14ac:dyDescent="0.25">
      <c r="A107" t="s">
        <v>418</v>
      </c>
      <c r="B107" t="s">
        <v>621</v>
      </c>
    </row>
    <row r="108" spans="1:2" x14ac:dyDescent="0.25">
      <c r="A108" t="s">
        <v>430</v>
      </c>
      <c r="B108" t="s">
        <v>621</v>
      </c>
    </row>
    <row r="109" spans="1:2" x14ac:dyDescent="0.25">
      <c r="A109" t="s">
        <v>432</v>
      </c>
      <c r="B109" t="s">
        <v>621</v>
      </c>
    </row>
    <row r="110" spans="1:2" x14ac:dyDescent="0.25">
      <c r="A110" t="s">
        <v>433</v>
      </c>
      <c r="B110" t="s">
        <v>621</v>
      </c>
    </row>
    <row r="111" spans="1:2" x14ac:dyDescent="0.25">
      <c r="A111" t="s">
        <v>435</v>
      </c>
      <c r="B111" t="s">
        <v>621</v>
      </c>
    </row>
    <row r="112" spans="1:2" x14ac:dyDescent="0.25">
      <c r="A112" t="s">
        <v>456</v>
      </c>
      <c r="B112" t="s">
        <v>621</v>
      </c>
    </row>
    <row r="113" spans="1:2" x14ac:dyDescent="0.25">
      <c r="A113" t="s">
        <v>457</v>
      </c>
      <c r="B113" t="s">
        <v>619</v>
      </c>
    </row>
    <row r="114" spans="1:2" x14ac:dyDescent="0.25">
      <c r="A114" t="s">
        <v>463</v>
      </c>
      <c r="B114" t="s">
        <v>619</v>
      </c>
    </row>
    <row r="115" spans="1:2" x14ac:dyDescent="0.25">
      <c r="A115" t="s">
        <v>468</v>
      </c>
      <c r="B115" t="s">
        <v>619</v>
      </c>
    </row>
    <row r="116" spans="1:2" x14ac:dyDescent="0.25">
      <c r="A116" t="s">
        <v>476</v>
      </c>
      <c r="B116" t="s">
        <v>619</v>
      </c>
    </row>
    <row r="117" spans="1:2" x14ac:dyDescent="0.25">
      <c r="A117" t="s">
        <v>478</v>
      </c>
      <c r="B117" t="s">
        <v>619</v>
      </c>
    </row>
    <row r="118" spans="1:2" x14ac:dyDescent="0.25">
      <c r="A118" t="s">
        <v>479</v>
      </c>
      <c r="B118" t="s">
        <v>621</v>
      </c>
    </row>
    <row r="119" spans="1:2" x14ac:dyDescent="0.25">
      <c r="A119" t="s">
        <v>482</v>
      </c>
      <c r="B119" t="s">
        <v>621</v>
      </c>
    </row>
    <row r="120" spans="1:2" x14ac:dyDescent="0.25">
      <c r="A120" t="s">
        <v>483</v>
      </c>
      <c r="B120" t="s">
        <v>619</v>
      </c>
    </row>
    <row r="121" spans="1:2" x14ac:dyDescent="0.25">
      <c r="A121" t="s">
        <v>486</v>
      </c>
      <c r="B121" t="s">
        <v>619</v>
      </c>
    </row>
    <row r="122" spans="1:2" x14ac:dyDescent="0.25">
      <c r="A122" t="s">
        <v>489</v>
      </c>
      <c r="B122" t="s">
        <v>619</v>
      </c>
    </row>
    <row r="123" spans="1:2" x14ac:dyDescent="0.25">
      <c r="A123" t="s">
        <v>492</v>
      </c>
      <c r="B123" t="s">
        <v>619</v>
      </c>
    </row>
    <row r="124" spans="1:2" x14ac:dyDescent="0.25">
      <c r="A124" t="s">
        <v>631</v>
      </c>
      <c r="B124" t="s">
        <v>617</v>
      </c>
    </row>
    <row r="125" spans="1:2" x14ac:dyDescent="0.25">
      <c r="A125" t="s">
        <v>181</v>
      </c>
      <c r="B125" t="s">
        <v>617</v>
      </c>
    </row>
    <row r="126" spans="1:2" x14ac:dyDescent="0.25">
      <c r="A126" t="s">
        <v>632</v>
      </c>
      <c r="B126" t="s">
        <v>613</v>
      </c>
    </row>
    <row r="127" spans="1:2" x14ac:dyDescent="0.25">
      <c r="A127" t="s">
        <v>633</v>
      </c>
      <c r="B127" t="s">
        <v>613</v>
      </c>
    </row>
    <row r="128" spans="1:2" x14ac:dyDescent="0.25">
      <c r="A128" t="s">
        <v>485</v>
      </c>
      <c r="B128" t="s">
        <v>617</v>
      </c>
    </row>
    <row r="129" spans="1:2" x14ac:dyDescent="0.25">
      <c r="A129" t="s">
        <v>400</v>
      </c>
      <c r="B129" t="s">
        <v>617</v>
      </c>
    </row>
    <row r="130" spans="1:2" x14ac:dyDescent="0.25">
      <c r="A130" t="s">
        <v>382</v>
      </c>
      <c r="B130" t="s">
        <v>617</v>
      </c>
    </row>
    <row r="131" spans="1:2" x14ac:dyDescent="0.25">
      <c r="A131" t="s">
        <v>634</v>
      </c>
      <c r="B131" t="s">
        <v>617</v>
      </c>
    </row>
    <row r="132" spans="1:2" x14ac:dyDescent="0.25">
      <c r="A132" t="s">
        <v>393</v>
      </c>
      <c r="B132" t="s">
        <v>617</v>
      </c>
    </row>
    <row r="133" spans="1:2" x14ac:dyDescent="0.25">
      <c r="A133" t="s">
        <v>195</v>
      </c>
      <c r="B133" t="s">
        <v>617</v>
      </c>
    </row>
    <row r="134" spans="1:2" x14ac:dyDescent="0.25">
      <c r="A134" t="s">
        <v>635</v>
      </c>
      <c r="B134" t="s">
        <v>617</v>
      </c>
    </row>
    <row r="135" spans="1:2" x14ac:dyDescent="0.25">
      <c r="A135" t="s">
        <v>636</v>
      </c>
      <c r="B135" t="s">
        <v>617</v>
      </c>
    </row>
    <row r="136" spans="1:2" x14ac:dyDescent="0.25">
      <c r="A136" t="s">
        <v>637</v>
      </c>
      <c r="B136" t="s">
        <v>617</v>
      </c>
    </row>
    <row r="137" spans="1:2" x14ac:dyDescent="0.25">
      <c r="A137" t="s">
        <v>638</v>
      </c>
      <c r="B137" t="s">
        <v>617</v>
      </c>
    </row>
    <row r="138" spans="1:2" x14ac:dyDescent="0.25">
      <c r="A138" t="s">
        <v>213</v>
      </c>
      <c r="B138" t="s">
        <v>617</v>
      </c>
    </row>
    <row r="139" spans="1:2" x14ac:dyDescent="0.25">
      <c r="A139" t="s">
        <v>188</v>
      </c>
      <c r="B139" t="s">
        <v>617</v>
      </c>
    </row>
    <row r="140" spans="1:2" x14ac:dyDescent="0.25">
      <c r="A140" t="s">
        <v>200</v>
      </c>
      <c r="B140" t="s">
        <v>617</v>
      </c>
    </row>
    <row r="141" spans="1:2" x14ac:dyDescent="0.25">
      <c r="A141" t="s">
        <v>225</v>
      </c>
      <c r="B141" t="s">
        <v>613</v>
      </c>
    </row>
    <row r="142" spans="1:2" x14ac:dyDescent="0.25">
      <c r="A142" t="s">
        <v>203</v>
      </c>
      <c r="B142" t="s">
        <v>617</v>
      </c>
    </row>
    <row r="143" spans="1:2" x14ac:dyDescent="0.25">
      <c r="A143" t="s">
        <v>207</v>
      </c>
      <c r="B143" t="s">
        <v>617</v>
      </c>
    </row>
    <row r="144" spans="1:2" x14ac:dyDescent="0.25">
      <c r="A144" t="s">
        <v>298</v>
      </c>
      <c r="B144" t="s">
        <v>617</v>
      </c>
    </row>
    <row r="145" spans="1:2" x14ac:dyDescent="0.25">
      <c r="A145" t="s">
        <v>412</v>
      </c>
      <c r="B145" t="s">
        <v>617</v>
      </c>
    </row>
    <row r="146" spans="1:2" x14ac:dyDescent="0.25">
      <c r="A146" t="s">
        <v>421</v>
      </c>
      <c r="B146" t="s">
        <v>617</v>
      </c>
    </row>
    <row r="147" spans="1:2" x14ac:dyDescent="0.25">
      <c r="A147" t="s">
        <v>373</v>
      </c>
      <c r="B147" t="s">
        <v>617</v>
      </c>
    </row>
    <row r="148" spans="1:2" x14ac:dyDescent="0.25">
      <c r="A148" t="s">
        <v>592</v>
      </c>
      <c r="B148" t="s">
        <v>617</v>
      </c>
    </row>
    <row r="149" spans="1:2" x14ac:dyDescent="0.25">
      <c r="A149" t="s">
        <v>639</v>
      </c>
      <c r="B149" t="s">
        <v>617</v>
      </c>
    </row>
    <row r="150" spans="1:2" x14ac:dyDescent="0.25">
      <c r="A150" t="s">
        <v>265</v>
      </c>
      <c r="B150" t="s">
        <v>617</v>
      </c>
    </row>
    <row r="151" spans="1:2" x14ac:dyDescent="0.25">
      <c r="A151" t="s">
        <v>640</v>
      </c>
      <c r="B151" t="s">
        <v>617</v>
      </c>
    </row>
    <row r="152" spans="1:2" x14ac:dyDescent="0.25">
      <c r="A152" t="s">
        <v>641</v>
      </c>
      <c r="B152" t="s">
        <v>617</v>
      </c>
    </row>
    <row r="153" spans="1:2" x14ac:dyDescent="0.25">
      <c r="A153" t="s">
        <v>59</v>
      </c>
      <c r="B153" t="s">
        <v>617</v>
      </c>
    </row>
    <row r="154" spans="1:2" x14ac:dyDescent="0.25">
      <c r="A154" t="s">
        <v>491</v>
      </c>
      <c r="B154" t="s">
        <v>617</v>
      </c>
    </row>
    <row r="155" spans="1:2" x14ac:dyDescent="0.25">
      <c r="A155" t="s">
        <v>273</v>
      </c>
      <c r="B155" t="s">
        <v>617</v>
      </c>
    </row>
    <row r="156" spans="1:2" x14ac:dyDescent="0.25">
      <c r="A156" t="s">
        <v>642</v>
      </c>
      <c r="B156" t="s">
        <v>617</v>
      </c>
    </row>
    <row r="157" spans="1:2" x14ac:dyDescent="0.25">
      <c r="A157" t="s">
        <v>493</v>
      </c>
      <c r="B157" t="s">
        <v>617</v>
      </c>
    </row>
    <row r="158" spans="1:2" x14ac:dyDescent="0.25">
      <c r="A158" t="s">
        <v>218</v>
      </c>
      <c r="B158" t="s">
        <v>617</v>
      </c>
    </row>
    <row r="159" spans="1:2" x14ac:dyDescent="0.25">
      <c r="A159" t="s">
        <v>291</v>
      </c>
      <c r="B159" t="s">
        <v>617</v>
      </c>
    </row>
    <row r="160" spans="1:2" x14ac:dyDescent="0.25">
      <c r="A160" t="s">
        <v>329</v>
      </c>
      <c r="B160" t="s">
        <v>617</v>
      </c>
    </row>
    <row r="161" spans="1:2" x14ac:dyDescent="0.25">
      <c r="A161" t="s">
        <v>246</v>
      </c>
      <c r="B161" t="s">
        <v>613</v>
      </c>
    </row>
    <row r="162" spans="1:2" x14ac:dyDescent="0.25">
      <c r="A162" t="s">
        <v>346</v>
      </c>
      <c r="B162" t="s">
        <v>613</v>
      </c>
    </row>
    <row r="163" spans="1:2" x14ac:dyDescent="0.25">
      <c r="A163" t="s">
        <v>554</v>
      </c>
      <c r="B163" t="s">
        <v>617</v>
      </c>
    </row>
    <row r="164" spans="1:2" x14ac:dyDescent="0.25">
      <c r="A164" t="s">
        <v>643</v>
      </c>
      <c r="B164" t="s">
        <v>617</v>
      </c>
    </row>
    <row r="165" spans="1:2" x14ac:dyDescent="0.25">
      <c r="A165" t="s">
        <v>644</v>
      </c>
      <c r="B165" t="s">
        <v>617</v>
      </c>
    </row>
    <row r="166" spans="1:2" x14ac:dyDescent="0.25">
      <c r="A166" t="s">
        <v>361</v>
      </c>
      <c r="B166" t="s">
        <v>617</v>
      </c>
    </row>
    <row r="167" spans="1:2" x14ac:dyDescent="0.25">
      <c r="A167" t="s">
        <v>523</v>
      </c>
      <c r="B167" t="s">
        <v>617</v>
      </c>
    </row>
    <row r="168" spans="1:2" x14ac:dyDescent="0.25">
      <c r="A168" t="s">
        <v>571</v>
      </c>
      <c r="B168" t="s">
        <v>617</v>
      </c>
    </row>
    <row r="169" spans="1:2" x14ac:dyDescent="0.25">
      <c r="A169" t="s">
        <v>377</v>
      </c>
      <c r="B169" t="s">
        <v>617</v>
      </c>
    </row>
    <row r="170" spans="1:2" x14ac:dyDescent="0.25">
      <c r="A170" t="s">
        <v>600</v>
      </c>
      <c r="B170" t="s">
        <v>617</v>
      </c>
    </row>
    <row r="171" spans="1:2" x14ac:dyDescent="0.25">
      <c r="A171" t="s">
        <v>481</v>
      </c>
      <c r="B171" t="s">
        <v>617</v>
      </c>
    </row>
    <row r="172" spans="1:2" x14ac:dyDescent="0.25">
      <c r="A172" t="s">
        <v>405</v>
      </c>
      <c r="B172" t="s">
        <v>613</v>
      </c>
    </row>
    <row r="173" spans="1:2" x14ac:dyDescent="0.25">
      <c r="A173" t="s">
        <v>391</v>
      </c>
      <c r="B173" t="s">
        <v>613</v>
      </c>
    </row>
    <row r="174" spans="1:2" x14ac:dyDescent="0.25">
      <c r="A174" t="s">
        <v>645</v>
      </c>
      <c r="B174" t="s">
        <v>613</v>
      </c>
    </row>
    <row r="175" spans="1:2" x14ac:dyDescent="0.25">
      <c r="A175" t="s">
        <v>646</v>
      </c>
      <c r="B175" t="s">
        <v>613</v>
      </c>
    </row>
    <row r="176" spans="1:2" x14ac:dyDescent="0.25">
      <c r="A176" t="s">
        <v>647</v>
      </c>
      <c r="B176" t="s">
        <v>613</v>
      </c>
    </row>
    <row r="177" spans="1:2" x14ac:dyDescent="0.25">
      <c r="A177" t="s">
        <v>648</v>
      </c>
      <c r="B177" t="s">
        <v>613</v>
      </c>
    </row>
    <row r="178" spans="1:2" x14ac:dyDescent="0.25">
      <c r="A178" t="s">
        <v>212</v>
      </c>
      <c r="B178" t="s">
        <v>613</v>
      </c>
    </row>
    <row r="179" spans="1:2" x14ac:dyDescent="0.25">
      <c r="A179" t="s">
        <v>288</v>
      </c>
      <c r="B179" t="s">
        <v>613</v>
      </c>
    </row>
    <row r="180" spans="1:2" x14ac:dyDescent="0.25">
      <c r="A180" t="s">
        <v>321</v>
      </c>
      <c r="B180" t="s">
        <v>613</v>
      </c>
    </row>
    <row r="181" spans="1:2" x14ac:dyDescent="0.25">
      <c r="A181" t="s">
        <v>198</v>
      </c>
      <c r="B181" t="s">
        <v>613</v>
      </c>
    </row>
    <row r="182" spans="1:2" x14ac:dyDescent="0.25">
      <c r="A182" t="s">
        <v>283</v>
      </c>
      <c r="B182" t="s">
        <v>613</v>
      </c>
    </row>
    <row r="183" spans="1:2" x14ac:dyDescent="0.25">
      <c r="A183" t="s">
        <v>649</v>
      </c>
      <c r="B183" t="s">
        <v>613</v>
      </c>
    </row>
    <row r="184" spans="1:2" x14ac:dyDescent="0.25">
      <c r="A184" t="s">
        <v>196</v>
      </c>
      <c r="B184" t="s">
        <v>613</v>
      </c>
    </row>
    <row r="185" spans="1:2" x14ac:dyDescent="0.25">
      <c r="A185" t="s">
        <v>287</v>
      </c>
      <c r="B185" t="s">
        <v>613</v>
      </c>
    </row>
    <row r="186" spans="1:2" x14ac:dyDescent="0.25">
      <c r="A186" t="s">
        <v>209</v>
      </c>
      <c r="B186" t="s">
        <v>613</v>
      </c>
    </row>
    <row r="187" spans="1:2" x14ac:dyDescent="0.25">
      <c r="A187" t="s">
        <v>187</v>
      </c>
      <c r="B187" t="s">
        <v>613</v>
      </c>
    </row>
    <row r="188" spans="1:2" x14ac:dyDescent="0.25">
      <c r="A188" t="s">
        <v>500</v>
      </c>
      <c r="B188" t="s">
        <v>613</v>
      </c>
    </row>
    <row r="189" spans="1:2" x14ac:dyDescent="0.25">
      <c r="A189" t="s">
        <v>289</v>
      </c>
      <c r="B189" t="s">
        <v>613</v>
      </c>
    </row>
    <row r="190" spans="1:2" x14ac:dyDescent="0.25">
      <c r="A190" t="s">
        <v>199</v>
      </c>
      <c r="B190" t="s">
        <v>613</v>
      </c>
    </row>
    <row r="191" spans="1:2" x14ac:dyDescent="0.25">
      <c r="A191" t="s">
        <v>501</v>
      </c>
      <c r="B191" t="s">
        <v>613</v>
      </c>
    </row>
    <row r="192" spans="1:2" x14ac:dyDescent="0.25">
      <c r="A192" t="s">
        <v>204</v>
      </c>
      <c r="B192" t="s">
        <v>613</v>
      </c>
    </row>
    <row r="193" spans="1:2" x14ac:dyDescent="0.25">
      <c r="A193" t="s">
        <v>650</v>
      </c>
      <c r="B193" t="s">
        <v>613</v>
      </c>
    </row>
    <row r="194" spans="1:2" x14ac:dyDescent="0.25">
      <c r="A194" t="s">
        <v>253</v>
      </c>
      <c r="B194" t="s">
        <v>613</v>
      </c>
    </row>
    <row r="195" spans="1:2" x14ac:dyDescent="0.25">
      <c r="A195" t="s">
        <v>206</v>
      </c>
      <c r="B195" t="s">
        <v>613</v>
      </c>
    </row>
    <row r="196" spans="1:2" x14ac:dyDescent="0.25">
      <c r="A196" t="s">
        <v>322</v>
      </c>
      <c r="B196" t="s">
        <v>613</v>
      </c>
    </row>
    <row r="197" spans="1:2" x14ac:dyDescent="0.25">
      <c r="A197" t="s">
        <v>299</v>
      </c>
      <c r="B197" t="s">
        <v>613</v>
      </c>
    </row>
    <row r="198" spans="1:2" x14ac:dyDescent="0.25">
      <c r="A198" t="s">
        <v>426</v>
      </c>
      <c r="B198" t="s">
        <v>613</v>
      </c>
    </row>
    <row r="199" spans="1:2" x14ac:dyDescent="0.25">
      <c r="A199" t="s">
        <v>411</v>
      </c>
      <c r="B199" t="s">
        <v>613</v>
      </c>
    </row>
    <row r="200" spans="1:2" x14ac:dyDescent="0.25">
      <c r="A200" t="s">
        <v>480</v>
      </c>
      <c r="B200" t="s">
        <v>613</v>
      </c>
    </row>
    <row r="201" spans="1:2" x14ac:dyDescent="0.25">
      <c r="A201" t="s">
        <v>502</v>
      </c>
      <c r="B201" t="s">
        <v>613</v>
      </c>
    </row>
    <row r="202" spans="1:2" x14ac:dyDescent="0.25">
      <c r="A202" t="s">
        <v>497</v>
      </c>
      <c r="B202" t="s">
        <v>613</v>
      </c>
    </row>
    <row r="203" spans="1:2" x14ac:dyDescent="0.25">
      <c r="A203" t="s">
        <v>597</v>
      </c>
      <c r="B203" t="s">
        <v>613</v>
      </c>
    </row>
    <row r="204" spans="1:2" x14ac:dyDescent="0.25">
      <c r="A204" t="s">
        <v>585</v>
      </c>
      <c r="B204" t="s">
        <v>613</v>
      </c>
    </row>
    <row r="205" spans="1:2" x14ac:dyDescent="0.25">
      <c r="A205" t="s">
        <v>558</v>
      </c>
      <c r="B205" t="s">
        <v>613</v>
      </c>
    </row>
    <row r="206" spans="1:2" x14ac:dyDescent="0.25">
      <c r="A206" t="s">
        <v>560</v>
      </c>
      <c r="B206" t="s">
        <v>613</v>
      </c>
    </row>
    <row r="207" spans="1:2" x14ac:dyDescent="0.25">
      <c r="A207" t="s">
        <v>582</v>
      </c>
      <c r="B207" t="s">
        <v>613</v>
      </c>
    </row>
    <row r="208" spans="1:2" x14ac:dyDescent="0.25">
      <c r="A208" t="s">
        <v>651</v>
      </c>
      <c r="B208" t="s">
        <v>613</v>
      </c>
    </row>
    <row r="209" spans="1:2" x14ac:dyDescent="0.25">
      <c r="A209" t="s">
        <v>652</v>
      </c>
      <c r="B209" t="s">
        <v>613</v>
      </c>
    </row>
    <row r="210" spans="1:2" x14ac:dyDescent="0.25">
      <c r="A210" t="s">
        <v>490</v>
      </c>
      <c r="B210" t="s">
        <v>613</v>
      </c>
    </row>
    <row r="211" spans="1:2" x14ac:dyDescent="0.25">
      <c r="A211" t="s">
        <v>484</v>
      </c>
      <c r="B211" t="s">
        <v>613</v>
      </c>
    </row>
    <row r="212" spans="1:2" x14ac:dyDescent="0.25">
      <c r="A212" t="s">
        <v>309</v>
      </c>
      <c r="B212" t="s">
        <v>613</v>
      </c>
    </row>
    <row r="213" spans="1:2" x14ac:dyDescent="0.25">
      <c r="A213" t="s">
        <v>256</v>
      </c>
      <c r="B213" t="s">
        <v>613</v>
      </c>
    </row>
    <row r="214" spans="1:2" x14ac:dyDescent="0.25">
      <c r="A214" t="s">
        <v>469</v>
      </c>
      <c r="B214" t="s">
        <v>613</v>
      </c>
    </row>
    <row r="215" spans="1:2" x14ac:dyDescent="0.25">
      <c r="A215" t="s">
        <v>417</v>
      </c>
      <c r="B215" t="s">
        <v>613</v>
      </c>
    </row>
    <row r="216" spans="1:2" x14ac:dyDescent="0.25">
      <c r="A216" t="s">
        <v>270</v>
      </c>
      <c r="B216" t="s">
        <v>613</v>
      </c>
    </row>
    <row r="217" spans="1:2" x14ac:dyDescent="0.25">
      <c r="A217" t="s">
        <v>268</v>
      </c>
      <c r="B217" t="s">
        <v>613</v>
      </c>
    </row>
    <row r="218" spans="1:2" x14ac:dyDescent="0.25">
      <c r="A218" t="s">
        <v>264</v>
      </c>
      <c r="B218" t="s">
        <v>613</v>
      </c>
    </row>
    <row r="219" spans="1:2" x14ac:dyDescent="0.25">
      <c r="A219" t="s">
        <v>310</v>
      </c>
      <c r="B219" t="s">
        <v>613</v>
      </c>
    </row>
    <row r="220" spans="1:2" x14ac:dyDescent="0.25">
      <c r="A220" t="s">
        <v>653</v>
      </c>
      <c r="B220" t="s">
        <v>613</v>
      </c>
    </row>
    <row r="221" spans="1:2" x14ac:dyDescent="0.25">
      <c r="A221" t="s">
        <v>654</v>
      </c>
      <c r="B221" t="s">
        <v>613</v>
      </c>
    </row>
    <row r="222" spans="1:2" x14ac:dyDescent="0.25">
      <c r="A222" t="s">
        <v>567</v>
      </c>
      <c r="B222" t="s">
        <v>613</v>
      </c>
    </row>
    <row r="223" spans="1:2" x14ac:dyDescent="0.25">
      <c r="A223" t="s">
        <v>565</v>
      </c>
      <c r="B223" t="s">
        <v>613</v>
      </c>
    </row>
    <row r="224" spans="1:2" x14ac:dyDescent="0.25">
      <c r="A224" t="s">
        <v>58</v>
      </c>
      <c r="B224" t="s">
        <v>613</v>
      </c>
    </row>
    <row r="225" spans="1:2" x14ac:dyDescent="0.25">
      <c r="A225" t="s">
        <v>215</v>
      </c>
      <c r="B225" t="s">
        <v>613</v>
      </c>
    </row>
    <row r="226" spans="1:2" x14ac:dyDescent="0.25">
      <c r="A226" t="s">
        <v>229</v>
      </c>
      <c r="B226" t="s">
        <v>613</v>
      </c>
    </row>
    <row r="227" spans="1:2" x14ac:dyDescent="0.25">
      <c r="A227" t="s">
        <v>477</v>
      </c>
      <c r="B227" t="s">
        <v>613</v>
      </c>
    </row>
    <row r="228" spans="1:2" x14ac:dyDescent="0.25">
      <c r="A228" t="s">
        <v>655</v>
      </c>
      <c r="B228" t="s">
        <v>613</v>
      </c>
    </row>
    <row r="229" spans="1:2" x14ac:dyDescent="0.25">
      <c r="A229" t="s">
        <v>272</v>
      </c>
      <c r="B229" t="s">
        <v>613</v>
      </c>
    </row>
    <row r="230" spans="1:2" x14ac:dyDescent="0.25">
      <c r="A230" t="s">
        <v>275</v>
      </c>
      <c r="B230" t="s">
        <v>613</v>
      </c>
    </row>
    <row r="231" spans="1:2" x14ac:dyDescent="0.25">
      <c r="A231" t="s">
        <v>338</v>
      </c>
      <c r="B231" t="s">
        <v>613</v>
      </c>
    </row>
    <row r="232" spans="1:2" x14ac:dyDescent="0.25">
      <c r="A232" t="s">
        <v>260</v>
      </c>
      <c r="B232" t="s">
        <v>613</v>
      </c>
    </row>
    <row r="233" spans="1:2" x14ac:dyDescent="0.25">
      <c r="A233" t="s">
        <v>503</v>
      </c>
      <c r="B233" t="s">
        <v>613</v>
      </c>
    </row>
    <row r="234" spans="1:2" x14ac:dyDescent="0.25">
      <c r="A234" t="s">
        <v>656</v>
      </c>
      <c r="B234" t="s">
        <v>613</v>
      </c>
    </row>
    <row r="235" spans="1:2" x14ac:dyDescent="0.25">
      <c r="A235" t="s">
        <v>192</v>
      </c>
      <c r="B235" t="s">
        <v>613</v>
      </c>
    </row>
    <row r="236" spans="1:2" x14ac:dyDescent="0.25">
      <c r="A236" t="s">
        <v>657</v>
      </c>
      <c r="B236" t="s">
        <v>613</v>
      </c>
    </row>
    <row r="237" spans="1:2" x14ac:dyDescent="0.25">
      <c r="A237" t="s">
        <v>254</v>
      </c>
      <c r="B237" t="s">
        <v>613</v>
      </c>
    </row>
    <row r="238" spans="1:2" x14ac:dyDescent="0.25">
      <c r="A238" t="s">
        <v>217</v>
      </c>
      <c r="B238" t="s">
        <v>613</v>
      </c>
    </row>
    <row r="239" spans="1:2" x14ac:dyDescent="0.25">
      <c r="A239" t="s">
        <v>227</v>
      </c>
      <c r="B239" t="s">
        <v>613</v>
      </c>
    </row>
    <row r="240" spans="1:2" x14ac:dyDescent="0.25">
      <c r="A240" t="s">
        <v>222</v>
      </c>
      <c r="B240" t="s">
        <v>613</v>
      </c>
    </row>
    <row r="241" spans="1:2" x14ac:dyDescent="0.25">
      <c r="A241" t="s">
        <v>658</v>
      </c>
      <c r="B241" t="s">
        <v>613</v>
      </c>
    </row>
    <row r="242" spans="1:2" x14ac:dyDescent="0.25">
      <c r="A242" t="s">
        <v>659</v>
      </c>
      <c r="B242" t="s">
        <v>613</v>
      </c>
    </row>
    <row r="243" spans="1:2" x14ac:dyDescent="0.25">
      <c r="A243" t="s">
        <v>293</v>
      </c>
      <c r="B243" t="s">
        <v>617</v>
      </c>
    </row>
    <row r="244" spans="1:2" x14ac:dyDescent="0.25">
      <c r="A244" t="s">
        <v>384</v>
      </c>
      <c r="B244" t="s">
        <v>613</v>
      </c>
    </row>
    <row r="245" spans="1:2" x14ac:dyDescent="0.25">
      <c r="A245" t="s">
        <v>347</v>
      </c>
      <c r="B245" t="s">
        <v>613</v>
      </c>
    </row>
    <row r="246" spans="1:2" x14ac:dyDescent="0.25">
      <c r="A246" t="s">
        <v>296</v>
      </c>
      <c r="B246" t="s">
        <v>613</v>
      </c>
    </row>
    <row r="247" spans="1:2" x14ac:dyDescent="0.25">
      <c r="A247" t="s">
        <v>307</v>
      </c>
      <c r="B247" t="s">
        <v>613</v>
      </c>
    </row>
    <row r="248" spans="1:2" x14ac:dyDescent="0.25">
      <c r="A248" t="s">
        <v>465</v>
      </c>
      <c r="B248" t="s">
        <v>613</v>
      </c>
    </row>
    <row r="249" spans="1:2" x14ac:dyDescent="0.25">
      <c r="A249" t="s">
        <v>660</v>
      </c>
      <c r="B249" t="s">
        <v>613</v>
      </c>
    </row>
    <row r="250" spans="1:2" x14ac:dyDescent="0.25">
      <c r="A250" t="s">
        <v>467</v>
      </c>
      <c r="B250" t="s">
        <v>613</v>
      </c>
    </row>
    <row r="251" spans="1:2" x14ac:dyDescent="0.25">
      <c r="A251" t="s">
        <v>380</v>
      </c>
      <c r="B251" t="s">
        <v>613</v>
      </c>
    </row>
    <row r="252" spans="1:2" x14ac:dyDescent="0.25">
      <c r="A252" t="s">
        <v>320</v>
      </c>
      <c r="B252" t="s">
        <v>613</v>
      </c>
    </row>
    <row r="253" spans="1:2" x14ac:dyDescent="0.25">
      <c r="A253" t="s">
        <v>505</v>
      </c>
      <c r="B253" t="s">
        <v>613</v>
      </c>
    </row>
    <row r="254" spans="1:2" x14ac:dyDescent="0.25">
      <c r="A254" t="s">
        <v>661</v>
      </c>
      <c r="B254" t="s">
        <v>613</v>
      </c>
    </row>
    <row r="255" spans="1:2" x14ac:dyDescent="0.25">
      <c r="A255" t="s">
        <v>278</v>
      </c>
      <c r="B255" t="s">
        <v>613</v>
      </c>
    </row>
    <row r="256" spans="1:2" x14ac:dyDescent="0.25">
      <c r="A256" t="s">
        <v>247</v>
      </c>
      <c r="B256" t="s">
        <v>613</v>
      </c>
    </row>
    <row r="257" spans="1:2" x14ac:dyDescent="0.25">
      <c r="A257" t="s">
        <v>190</v>
      </c>
      <c r="B257" t="s">
        <v>613</v>
      </c>
    </row>
    <row r="258" spans="1:2" x14ac:dyDescent="0.25">
      <c r="A258" t="s">
        <v>191</v>
      </c>
      <c r="B258" t="s">
        <v>613</v>
      </c>
    </row>
    <row r="259" spans="1:2" x14ac:dyDescent="0.25">
      <c r="A259" t="s">
        <v>506</v>
      </c>
      <c r="B259" t="s">
        <v>613</v>
      </c>
    </row>
    <row r="260" spans="1:2" x14ac:dyDescent="0.25">
      <c r="A260" t="s">
        <v>573</v>
      </c>
      <c r="B260" t="s">
        <v>613</v>
      </c>
    </row>
    <row r="261" spans="1:2" x14ac:dyDescent="0.25">
      <c r="A261" t="s">
        <v>383</v>
      </c>
      <c r="B261" t="s">
        <v>613</v>
      </c>
    </row>
    <row r="262" spans="1:2" x14ac:dyDescent="0.25">
      <c r="A262" t="s">
        <v>662</v>
      </c>
      <c r="B262" t="s">
        <v>613</v>
      </c>
    </row>
    <row r="263" spans="1:2" x14ac:dyDescent="0.25">
      <c r="A263" t="s">
        <v>257</v>
      </c>
      <c r="B263" t="s">
        <v>613</v>
      </c>
    </row>
    <row r="264" spans="1:2" x14ac:dyDescent="0.25">
      <c r="A264" t="s">
        <v>223</v>
      </c>
      <c r="B264" t="s">
        <v>613</v>
      </c>
    </row>
    <row r="265" spans="1:2" x14ac:dyDescent="0.25">
      <c r="A265" t="s">
        <v>221</v>
      </c>
      <c r="B265" t="s">
        <v>613</v>
      </c>
    </row>
    <row r="266" spans="1:2" x14ac:dyDescent="0.25">
      <c r="A266" t="s">
        <v>220</v>
      </c>
      <c r="B266" t="s">
        <v>613</v>
      </c>
    </row>
    <row r="267" spans="1:2" x14ac:dyDescent="0.25">
      <c r="A267" t="s">
        <v>184</v>
      </c>
      <c r="B267" t="s">
        <v>613</v>
      </c>
    </row>
    <row r="268" spans="1:2" x14ac:dyDescent="0.25">
      <c r="A268" t="s">
        <v>466</v>
      </c>
      <c r="B268" t="s">
        <v>613</v>
      </c>
    </row>
    <row r="269" spans="1:2" x14ac:dyDescent="0.25">
      <c r="A269" t="s">
        <v>385</v>
      </c>
      <c r="B269" t="s">
        <v>613</v>
      </c>
    </row>
    <row r="270" spans="1:2" x14ac:dyDescent="0.25">
      <c r="A270" t="s">
        <v>496</v>
      </c>
      <c r="B270" t="s">
        <v>613</v>
      </c>
    </row>
    <row r="271" spans="1:2" x14ac:dyDescent="0.25">
      <c r="A271" t="s">
        <v>499</v>
      </c>
      <c r="B271" t="s">
        <v>613</v>
      </c>
    </row>
    <row r="272" spans="1:2" x14ac:dyDescent="0.25">
      <c r="A272" t="s">
        <v>498</v>
      </c>
      <c r="B272" t="s">
        <v>613</v>
      </c>
    </row>
    <row r="273" spans="1:2" x14ac:dyDescent="0.25">
      <c r="A273" t="s">
        <v>294</v>
      </c>
      <c r="B273" t="s">
        <v>613</v>
      </c>
    </row>
    <row r="274" spans="1:2" x14ac:dyDescent="0.25">
      <c r="A274" t="s">
        <v>292</v>
      </c>
      <c r="B274" t="s">
        <v>613</v>
      </c>
    </row>
    <row r="275" spans="1:2" x14ac:dyDescent="0.25">
      <c r="A275" t="s">
        <v>504</v>
      </c>
      <c r="B275" t="s">
        <v>613</v>
      </c>
    </row>
    <row r="276" spans="1:2" x14ac:dyDescent="0.25">
      <c r="A276" t="s">
        <v>588</v>
      </c>
      <c r="B276" t="s">
        <v>613</v>
      </c>
    </row>
    <row r="277" spans="1:2" x14ac:dyDescent="0.25">
      <c r="A277" t="s">
        <v>562</v>
      </c>
      <c r="B277" t="s">
        <v>613</v>
      </c>
    </row>
    <row r="278" spans="1:2" x14ac:dyDescent="0.25">
      <c r="A278" t="s">
        <v>663</v>
      </c>
      <c r="B278" t="s">
        <v>613</v>
      </c>
    </row>
    <row r="279" spans="1:2" x14ac:dyDescent="0.25">
      <c r="A279" t="s">
        <v>522</v>
      </c>
      <c r="B279" t="s">
        <v>613</v>
      </c>
    </row>
    <row r="280" spans="1:2" x14ac:dyDescent="0.25">
      <c r="A280" t="s">
        <v>580</v>
      </c>
      <c r="B280" t="s">
        <v>613</v>
      </c>
    </row>
    <row r="281" spans="1:2" x14ac:dyDescent="0.25">
      <c r="A281" t="s">
        <v>605</v>
      </c>
      <c r="B281" t="s">
        <v>613</v>
      </c>
    </row>
    <row r="282" spans="1:2" x14ac:dyDescent="0.25">
      <c r="A282" t="s">
        <v>577</v>
      </c>
      <c r="B282" t="s">
        <v>613</v>
      </c>
    </row>
    <row r="283" spans="1:2" x14ac:dyDescent="0.25">
      <c r="A283" t="s">
        <v>575</v>
      </c>
      <c r="B283" t="s">
        <v>613</v>
      </c>
    </row>
    <row r="284" spans="1:2" x14ac:dyDescent="0.25">
      <c r="A284" t="s">
        <v>664</v>
      </c>
      <c r="B284" t="s">
        <v>613</v>
      </c>
    </row>
    <row r="285" spans="1:2" x14ac:dyDescent="0.25">
      <c r="A285" t="s">
        <v>55</v>
      </c>
      <c r="B285" t="s">
        <v>617</v>
      </c>
    </row>
    <row r="286" spans="1:2" x14ac:dyDescent="0.25">
      <c r="A286" t="s">
        <v>183</v>
      </c>
      <c r="B286" t="s">
        <v>617</v>
      </c>
    </row>
    <row r="287" spans="1:2" x14ac:dyDescent="0.25">
      <c r="A287" t="s">
        <v>160</v>
      </c>
      <c r="B287" t="s">
        <v>617</v>
      </c>
    </row>
    <row r="288" spans="1:2" x14ac:dyDescent="0.25">
      <c r="A288" t="s">
        <v>142</v>
      </c>
      <c r="B288" t="s">
        <v>617</v>
      </c>
    </row>
    <row r="289" spans="1:2" x14ac:dyDescent="0.25">
      <c r="A289" t="s">
        <v>286</v>
      </c>
      <c r="B289" t="s">
        <v>617</v>
      </c>
    </row>
    <row r="290" spans="1:2" x14ac:dyDescent="0.25">
      <c r="A290" t="s">
        <v>186</v>
      </c>
      <c r="B290" t="s">
        <v>617</v>
      </c>
    </row>
    <row r="291" spans="1:2" x14ac:dyDescent="0.25">
      <c r="A291" t="s">
        <v>145</v>
      </c>
      <c r="B291" t="s">
        <v>617</v>
      </c>
    </row>
    <row r="292" spans="1:2" x14ac:dyDescent="0.25">
      <c r="A292" t="s">
        <v>148</v>
      </c>
      <c r="B292" t="s">
        <v>617</v>
      </c>
    </row>
    <row r="293" spans="1:2" x14ac:dyDescent="0.25">
      <c r="A293" t="s">
        <v>263</v>
      </c>
      <c r="B293" t="s">
        <v>617</v>
      </c>
    </row>
    <row r="294" spans="1:2" x14ac:dyDescent="0.25">
      <c r="A294" t="s">
        <v>242</v>
      </c>
      <c r="B294" t="s">
        <v>613</v>
      </c>
    </row>
    <row r="295" spans="1:2" x14ac:dyDescent="0.25">
      <c r="A295" t="s">
        <v>665</v>
      </c>
      <c r="B295" t="s">
        <v>613</v>
      </c>
    </row>
    <row r="296" spans="1:2" x14ac:dyDescent="0.25">
      <c r="A296" t="s">
        <v>494</v>
      </c>
      <c r="B296" t="s">
        <v>613</v>
      </c>
    </row>
    <row r="297" spans="1:2" x14ac:dyDescent="0.25">
      <c r="A297" t="s">
        <v>231</v>
      </c>
      <c r="B297" t="s">
        <v>613</v>
      </c>
    </row>
    <row r="298" spans="1:2" x14ac:dyDescent="0.25">
      <c r="A298" t="s">
        <v>244</v>
      </c>
      <c r="B298" t="s">
        <v>613</v>
      </c>
    </row>
    <row r="299" spans="1:2" x14ac:dyDescent="0.25">
      <c r="A299" t="s">
        <v>305</v>
      </c>
      <c r="B299" t="s">
        <v>613</v>
      </c>
    </row>
    <row r="300" spans="1:2" x14ac:dyDescent="0.25">
      <c r="A300" t="s">
        <v>666</v>
      </c>
      <c r="B300" t="s">
        <v>613</v>
      </c>
    </row>
    <row r="301" spans="1:2" x14ac:dyDescent="0.25">
      <c r="A301" t="s">
        <v>667</v>
      </c>
      <c r="B301" t="s">
        <v>613</v>
      </c>
    </row>
    <row r="302" spans="1:2" x14ac:dyDescent="0.25">
      <c r="A302" t="s">
        <v>668</v>
      </c>
      <c r="B302" t="s">
        <v>613</v>
      </c>
    </row>
    <row r="303" spans="1:2" x14ac:dyDescent="0.25">
      <c r="A303" t="s">
        <v>464</v>
      </c>
      <c r="B303" t="s">
        <v>613</v>
      </c>
    </row>
    <row r="304" spans="1:2" x14ac:dyDescent="0.25">
      <c r="A304" t="s">
        <v>669</v>
      </c>
      <c r="B304" t="s">
        <v>613</v>
      </c>
    </row>
    <row r="305" spans="1:2" x14ac:dyDescent="0.25">
      <c r="A305" t="s">
        <v>670</v>
      </c>
      <c r="B305" t="s">
        <v>613</v>
      </c>
    </row>
    <row r="306" spans="1:2" x14ac:dyDescent="0.25">
      <c r="A306" t="s">
        <v>570</v>
      </c>
      <c r="B306" t="s">
        <v>613</v>
      </c>
    </row>
    <row r="307" spans="1:2" x14ac:dyDescent="0.25">
      <c r="A307" t="s">
        <v>336</v>
      </c>
      <c r="B307" t="s">
        <v>613</v>
      </c>
    </row>
    <row r="308" spans="1:2" x14ac:dyDescent="0.25">
      <c r="A308" t="s">
        <v>261</v>
      </c>
      <c r="B308" t="s">
        <v>613</v>
      </c>
    </row>
    <row r="309" spans="1:2" x14ac:dyDescent="0.25">
      <c r="A309" t="s">
        <v>341</v>
      </c>
      <c r="B309" t="s">
        <v>613</v>
      </c>
    </row>
    <row r="310" spans="1:2" x14ac:dyDescent="0.25">
      <c r="A310" t="s">
        <v>521</v>
      </c>
      <c r="B310" t="s">
        <v>613</v>
      </c>
    </row>
    <row r="311" spans="1:2" x14ac:dyDescent="0.25">
      <c r="A311" t="s">
        <v>343</v>
      </c>
      <c r="B311" t="s">
        <v>613</v>
      </c>
    </row>
    <row r="312" spans="1:2" x14ac:dyDescent="0.25">
      <c r="A312" t="s">
        <v>671</v>
      </c>
      <c r="B312" t="s">
        <v>613</v>
      </c>
    </row>
    <row r="313" spans="1:2" x14ac:dyDescent="0.25">
      <c r="A313" t="s">
        <v>345</v>
      </c>
      <c r="B313" t="s">
        <v>617</v>
      </c>
    </row>
    <row r="314" spans="1:2" x14ac:dyDescent="0.25">
      <c r="A314" t="s">
        <v>563</v>
      </c>
      <c r="B314" t="s">
        <v>613</v>
      </c>
    </row>
    <row r="315" spans="1:2" x14ac:dyDescent="0.25">
      <c r="A315" t="s">
        <v>365</v>
      </c>
      <c r="B315" t="s">
        <v>621</v>
      </c>
    </row>
    <row r="316" spans="1:2" x14ac:dyDescent="0.25">
      <c r="A316" t="s">
        <v>180</v>
      </c>
      <c r="B316" t="s">
        <v>613</v>
      </c>
    </row>
    <row r="317" spans="1:2" x14ac:dyDescent="0.25">
      <c r="A317" t="s">
        <v>353</v>
      </c>
      <c r="B317" t="s">
        <v>617</v>
      </c>
    </row>
    <row r="318" spans="1:2" x14ac:dyDescent="0.25">
      <c r="A318" t="s">
        <v>672</v>
      </c>
      <c r="B318" t="s">
        <v>613</v>
      </c>
    </row>
    <row r="319" spans="1:2" x14ac:dyDescent="0.25">
      <c r="A319" t="s">
        <v>249</v>
      </c>
      <c r="B319" t="s">
        <v>613</v>
      </c>
    </row>
    <row r="320" spans="1:2" x14ac:dyDescent="0.25">
      <c r="A320" t="s">
        <v>364</v>
      </c>
      <c r="B320" t="s">
        <v>613</v>
      </c>
    </row>
    <row r="321" spans="1:2" x14ac:dyDescent="0.25">
      <c r="A321" t="s">
        <v>366</v>
      </c>
      <c r="B321" t="s">
        <v>613</v>
      </c>
    </row>
    <row r="322" spans="1:2" x14ac:dyDescent="0.25">
      <c r="A322" t="s">
        <v>673</v>
      </c>
      <c r="B322" t="s">
        <v>617</v>
      </c>
    </row>
    <row r="323" spans="1:2" x14ac:dyDescent="0.25">
      <c r="A323" t="s">
        <v>348</v>
      </c>
      <c r="B323" t="s">
        <v>613</v>
      </c>
    </row>
    <row r="324" spans="1:2" x14ac:dyDescent="0.25">
      <c r="A324" t="s">
        <v>674</v>
      </c>
      <c r="B324" t="s">
        <v>613</v>
      </c>
    </row>
    <row r="325" spans="1:2" x14ac:dyDescent="0.25">
      <c r="A325" t="s">
        <v>354</v>
      </c>
      <c r="B325" t="s">
        <v>613</v>
      </c>
    </row>
    <row r="326" spans="1:2" x14ac:dyDescent="0.25">
      <c r="A326" t="s">
        <v>355</v>
      </c>
      <c r="B326" t="s">
        <v>613</v>
      </c>
    </row>
    <row r="327" spans="1:2" x14ac:dyDescent="0.25">
      <c r="A327" t="s">
        <v>675</v>
      </c>
      <c r="B327" t="s">
        <v>613</v>
      </c>
    </row>
    <row r="328" spans="1:2" x14ac:dyDescent="0.25">
      <c r="A328" t="s">
        <v>295</v>
      </c>
      <c r="B328" t="s">
        <v>617</v>
      </c>
    </row>
    <row r="329" spans="1:2" x14ac:dyDescent="0.25">
      <c r="A329" t="s">
        <v>152</v>
      </c>
      <c r="B329" t="s">
        <v>613</v>
      </c>
    </row>
    <row r="330" spans="1:2" x14ac:dyDescent="0.25">
      <c r="A330" t="s">
        <v>351</v>
      </c>
      <c r="B330" t="s">
        <v>613</v>
      </c>
    </row>
    <row r="331" spans="1:2" x14ac:dyDescent="0.25">
      <c r="A331" t="s">
        <v>360</v>
      </c>
      <c r="B331" t="s">
        <v>613</v>
      </c>
    </row>
    <row r="332" spans="1:2" x14ac:dyDescent="0.25">
      <c r="A332" t="s">
        <v>363</v>
      </c>
      <c r="B332" t="s">
        <v>613</v>
      </c>
    </row>
    <row r="333" spans="1:2" x14ac:dyDescent="0.25">
      <c r="A333" t="s">
        <v>139</v>
      </c>
      <c r="B333" t="s">
        <v>617</v>
      </c>
    </row>
    <row r="334" spans="1:2" x14ac:dyDescent="0.25">
      <c r="A334" t="s">
        <v>517</v>
      </c>
      <c r="B334" t="s">
        <v>613</v>
      </c>
    </row>
    <row r="335" spans="1:2" x14ac:dyDescent="0.25">
      <c r="A335" t="s">
        <v>488</v>
      </c>
      <c r="B335" t="s">
        <v>613</v>
      </c>
    </row>
    <row r="336" spans="1:2" x14ac:dyDescent="0.25">
      <c r="A336" t="s">
        <v>487</v>
      </c>
      <c r="B336" t="s">
        <v>617</v>
      </c>
    </row>
    <row r="337" spans="1:2" x14ac:dyDescent="0.25">
      <c r="A337" t="s">
        <v>398</v>
      </c>
      <c r="B337" t="s">
        <v>613</v>
      </c>
    </row>
    <row r="338" spans="1:2" x14ac:dyDescent="0.25">
      <c r="A338" t="s">
        <v>402</v>
      </c>
      <c r="B338" t="s">
        <v>613</v>
      </c>
    </row>
    <row r="339" spans="1:2" x14ac:dyDescent="0.25">
      <c r="A339" t="s">
        <v>676</v>
      </c>
      <c r="B339" t="s">
        <v>613</v>
      </c>
    </row>
    <row r="340" spans="1:2" x14ac:dyDescent="0.25">
      <c r="A340" t="s">
        <v>677</v>
      </c>
      <c r="B340" t="s">
        <v>613</v>
      </c>
    </row>
    <row r="341" spans="1:2" x14ac:dyDescent="0.25">
      <c r="A341" t="s">
        <v>678</v>
      </c>
      <c r="B341" t="s">
        <v>613</v>
      </c>
    </row>
    <row r="342" spans="1:2" x14ac:dyDescent="0.25">
      <c r="A342" t="s">
        <v>679</v>
      </c>
      <c r="B342" t="s">
        <v>613</v>
      </c>
    </row>
    <row r="343" spans="1:2" x14ac:dyDescent="0.25">
      <c r="A343" t="s">
        <v>507</v>
      </c>
      <c r="B343" t="s">
        <v>613</v>
      </c>
    </row>
    <row r="344" spans="1:2" x14ac:dyDescent="0.25">
      <c r="A344" t="s">
        <v>680</v>
      </c>
      <c r="B344" t="s">
        <v>613</v>
      </c>
    </row>
    <row r="345" spans="1:2" x14ac:dyDescent="0.25">
      <c r="A345" t="s">
        <v>681</v>
      </c>
      <c r="B345" t="s">
        <v>617</v>
      </c>
    </row>
    <row r="346" spans="1:2" x14ac:dyDescent="0.25">
      <c r="A346" t="s">
        <v>682</v>
      </c>
      <c r="B346" t="s">
        <v>613</v>
      </c>
    </row>
    <row r="347" spans="1:2" x14ac:dyDescent="0.25">
      <c r="A347" t="s">
        <v>683</v>
      </c>
      <c r="B347" t="s">
        <v>613</v>
      </c>
    </row>
    <row r="348" spans="1:2" x14ac:dyDescent="0.25">
      <c r="A348" t="s">
        <v>169</v>
      </c>
      <c r="B348" t="s">
        <v>613</v>
      </c>
    </row>
    <row r="349" spans="1:2" x14ac:dyDescent="0.25">
      <c r="A349" t="s">
        <v>172</v>
      </c>
      <c r="B349" t="s">
        <v>613</v>
      </c>
    </row>
    <row r="350" spans="1:2" x14ac:dyDescent="0.25">
      <c r="A350" t="s">
        <v>408</v>
      </c>
      <c r="B350" t="s">
        <v>617</v>
      </c>
    </row>
    <row r="351" spans="1:2" x14ac:dyDescent="0.25">
      <c r="A351" t="s">
        <v>684</v>
      </c>
      <c r="B351" t="s">
        <v>613</v>
      </c>
    </row>
    <row r="352" spans="1:2" x14ac:dyDescent="0.25">
      <c r="A352" t="s">
        <v>685</v>
      </c>
      <c r="B352" t="s">
        <v>613</v>
      </c>
    </row>
    <row r="353" spans="1:2" x14ac:dyDescent="0.25">
      <c r="A353" t="s">
        <v>595</v>
      </c>
      <c r="B353" t="s">
        <v>613</v>
      </c>
    </row>
    <row r="354" spans="1:2" x14ac:dyDescent="0.25">
      <c r="A354" t="s">
        <v>144</v>
      </c>
      <c r="B354" t="s">
        <v>613</v>
      </c>
    </row>
    <row r="355" spans="1:2" x14ac:dyDescent="0.25">
      <c r="A355" t="s">
        <v>301</v>
      </c>
      <c r="B355" t="s">
        <v>613</v>
      </c>
    </row>
    <row r="356" spans="1:2" x14ac:dyDescent="0.25">
      <c r="A356" t="s">
        <v>147</v>
      </c>
      <c r="B356" t="s">
        <v>613</v>
      </c>
    </row>
    <row r="357" spans="1:2" x14ac:dyDescent="0.25">
      <c r="A357" t="s">
        <v>508</v>
      </c>
      <c r="B357" t="s">
        <v>613</v>
      </c>
    </row>
    <row r="358" spans="1:2" x14ac:dyDescent="0.25">
      <c r="A358" t="s">
        <v>509</v>
      </c>
      <c r="B358" t="s">
        <v>613</v>
      </c>
    </row>
    <row r="359" spans="1:2" x14ac:dyDescent="0.25">
      <c r="A359" t="s">
        <v>414</v>
      </c>
      <c r="B359" t="s">
        <v>617</v>
      </c>
    </row>
    <row r="360" spans="1:2" x14ac:dyDescent="0.25">
      <c r="A360" t="s">
        <v>224</v>
      </c>
      <c r="B360" t="s">
        <v>619</v>
      </c>
    </row>
    <row r="361" spans="1:2" x14ac:dyDescent="0.25">
      <c r="A361" t="s">
        <v>578</v>
      </c>
      <c r="B361" t="s">
        <v>617</v>
      </c>
    </row>
    <row r="362" spans="1:2" x14ac:dyDescent="0.25">
      <c r="A362" t="s">
        <v>686</v>
      </c>
      <c r="B362" t="s">
        <v>617</v>
      </c>
    </row>
    <row r="363" spans="1:2" x14ac:dyDescent="0.25">
      <c r="A363" t="s">
        <v>269</v>
      </c>
      <c r="B363" t="s">
        <v>617</v>
      </c>
    </row>
    <row r="364" spans="1:2" x14ac:dyDescent="0.25">
      <c r="A364" t="s">
        <v>267</v>
      </c>
      <c r="B364" t="s">
        <v>617</v>
      </c>
    </row>
    <row r="365" spans="1:2" x14ac:dyDescent="0.25">
      <c r="A365" t="s">
        <v>687</v>
      </c>
      <c r="B365" t="s">
        <v>617</v>
      </c>
    </row>
    <row r="366" spans="1:2" x14ac:dyDescent="0.25">
      <c r="A366" t="s">
        <v>688</v>
      </c>
      <c r="B366" t="s">
        <v>613</v>
      </c>
    </row>
    <row r="367" spans="1:2" x14ac:dyDescent="0.25">
      <c r="A367" t="s">
        <v>689</v>
      </c>
      <c r="B367" t="s">
        <v>613</v>
      </c>
    </row>
    <row r="368" spans="1:2" x14ac:dyDescent="0.25">
      <c r="A368" t="s">
        <v>359</v>
      </c>
      <c r="B368" t="s">
        <v>613</v>
      </c>
    </row>
    <row r="369" spans="1:2" x14ac:dyDescent="0.25">
      <c r="A369" t="s">
        <v>156</v>
      </c>
      <c r="B369" t="s">
        <v>613</v>
      </c>
    </row>
    <row r="370" spans="1:2" x14ac:dyDescent="0.25">
      <c r="A370" t="s">
        <v>690</v>
      </c>
      <c r="B370" t="s">
        <v>613</v>
      </c>
    </row>
    <row r="371" spans="1:2" x14ac:dyDescent="0.25">
      <c r="A371" t="s">
        <v>159</v>
      </c>
      <c r="B371" t="s">
        <v>613</v>
      </c>
    </row>
    <row r="372" spans="1:2" x14ac:dyDescent="0.25">
      <c r="A372" t="s">
        <v>553</v>
      </c>
      <c r="B372" t="s">
        <v>613</v>
      </c>
    </row>
    <row r="373" spans="1:2" x14ac:dyDescent="0.25">
      <c r="A373" t="s">
        <v>556</v>
      </c>
      <c r="B373" t="s">
        <v>613</v>
      </c>
    </row>
    <row r="374" spans="1:2" x14ac:dyDescent="0.25">
      <c r="A374" t="s">
        <v>167</v>
      </c>
      <c r="B374" t="s">
        <v>613</v>
      </c>
    </row>
    <row r="375" spans="1:2" x14ac:dyDescent="0.25">
      <c r="A375" t="s">
        <v>410</v>
      </c>
      <c r="B375" t="s">
        <v>617</v>
      </c>
    </row>
    <row r="376" spans="1:2" x14ac:dyDescent="0.25">
      <c r="A376" t="s">
        <v>510</v>
      </c>
      <c r="B376" t="s">
        <v>617</v>
      </c>
    </row>
    <row r="377" spans="1:2" x14ac:dyDescent="0.25">
      <c r="A377" t="s">
        <v>194</v>
      </c>
      <c r="B377" t="s">
        <v>613</v>
      </c>
    </row>
    <row r="378" spans="1:2" x14ac:dyDescent="0.25">
      <c r="A378" t="s">
        <v>340</v>
      </c>
      <c r="B378" t="s">
        <v>617</v>
      </c>
    </row>
    <row r="379" spans="1:2" x14ac:dyDescent="0.25">
      <c r="A379" t="s">
        <v>691</v>
      </c>
      <c r="B379" t="s">
        <v>617</v>
      </c>
    </row>
    <row r="380" spans="1:2" x14ac:dyDescent="0.25">
      <c r="A380" t="s">
        <v>692</v>
      </c>
      <c r="B380" t="s">
        <v>613</v>
      </c>
    </row>
    <row r="381" spans="1:2" x14ac:dyDescent="0.25">
      <c r="A381" t="s">
        <v>693</v>
      </c>
      <c r="B381" t="s">
        <v>613</v>
      </c>
    </row>
    <row r="382" spans="1:2" x14ac:dyDescent="0.25">
      <c r="A382" t="s">
        <v>158</v>
      </c>
      <c r="B382" t="s">
        <v>617</v>
      </c>
    </row>
    <row r="383" spans="1:2" x14ac:dyDescent="0.25">
      <c r="A383" t="s">
        <v>694</v>
      </c>
      <c r="B383" t="s">
        <v>617</v>
      </c>
    </row>
    <row r="384" spans="1:2" x14ac:dyDescent="0.25">
      <c r="A384" t="s">
        <v>511</v>
      </c>
      <c r="B384" t="s">
        <v>617</v>
      </c>
    </row>
    <row r="385" spans="1:2" x14ac:dyDescent="0.25">
      <c r="A385" t="s">
        <v>512</v>
      </c>
      <c r="B385" t="s">
        <v>617</v>
      </c>
    </row>
    <row r="386" spans="1:2" x14ac:dyDescent="0.25">
      <c r="A386" t="s">
        <v>513</v>
      </c>
      <c r="B386" t="s">
        <v>617</v>
      </c>
    </row>
    <row r="387" spans="1:2" x14ac:dyDescent="0.25">
      <c r="A387" t="s">
        <v>695</v>
      </c>
      <c r="B387" t="s">
        <v>617</v>
      </c>
    </row>
    <row r="388" spans="1:2" x14ac:dyDescent="0.25">
      <c r="A388" t="s">
        <v>696</v>
      </c>
      <c r="B388" t="s">
        <v>617</v>
      </c>
    </row>
    <row r="389" spans="1:2" x14ac:dyDescent="0.25">
      <c r="A389" t="s">
        <v>697</v>
      </c>
      <c r="B389" t="s">
        <v>619</v>
      </c>
    </row>
    <row r="390" spans="1:2" x14ac:dyDescent="0.25">
      <c r="A390" t="s">
        <v>698</v>
      </c>
      <c r="B390" t="s">
        <v>617</v>
      </c>
    </row>
    <row r="391" spans="1:2" x14ac:dyDescent="0.25">
      <c r="A391" t="s">
        <v>179</v>
      </c>
      <c r="B391" t="s">
        <v>613</v>
      </c>
    </row>
    <row r="392" spans="1:2" x14ac:dyDescent="0.25">
      <c r="A392" t="s">
        <v>138</v>
      </c>
      <c r="B392" t="s">
        <v>613</v>
      </c>
    </row>
    <row r="393" spans="1:2" x14ac:dyDescent="0.25">
      <c r="A393" t="s">
        <v>459</v>
      </c>
      <c r="B393" t="s">
        <v>617</v>
      </c>
    </row>
    <row r="394" spans="1:2" x14ac:dyDescent="0.25">
      <c r="A394" t="s">
        <v>458</v>
      </c>
      <c r="B394" t="s">
        <v>613</v>
      </c>
    </row>
    <row r="395" spans="1:2" x14ac:dyDescent="0.25">
      <c r="A395" t="s">
        <v>699</v>
      </c>
      <c r="B395" t="s">
        <v>613</v>
      </c>
    </row>
    <row r="396" spans="1:2" x14ac:dyDescent="0.25">
      <c r="A396" t="s">
        <v>700</v>
      </c>
      <c r="B396" t="s">
        <v>613</v>
      </c>
    </row>
    <row r="397" spans="1:2" x14ac:dyDescent="0.25">
      <c r="A397" t="s">
        <v>701</v>
      </c>
      <c r="B397" t="s">
        <v>613</v>
      </c>
    </row>
    <row r="398" spans="1:2" x14ac:dyDescent="0.25">
      <c r="A398" t="s">
        <v>514</v>
      </c>
      <c r="B398" t="s">
        <v>613</v>
      </c>
    </row>
    <row r="399" spans="1:2" x14ac:dyDescent="0.25">
      <c r="A399" t="s">
        <v>702</v>
      </c>
      <c r="B399" t="s">
        <v>621</v>
      </c>
    </row>
    <row r="400" spans="1:2" x14ac:dyDescent="0.25">
      <c r="A400" t="s">
        <v>703</v>
      </c>
      <c r="B400" t="s">
        <v>617</v>
      </c>
    </row>
    <row r="401" spans="1:2" x14ac:dyDescent="0.25">
      <c r="A401" t="s">
        <v>516</v>
      </c>
      <c r="B401" t="s">
        <v>621</v>
      </c>
    </row>
    <row r="402" spans="1:2" x14ac:dyDescent="0.25">
      <c r="A402" t="s">
        <v>136</v>
      </c>
      <c r="B402" t="s">
        <v>617</v>
      </c>
    </row>
    <row r="403" spans="1:2" x14ac:dyDescent="0.25">
      <c r="A403" t="s">
        <v>123</v>
      </c>
      <c r="B403" t="s">
        <v>617</v>
      </c>
    </row>
    <row r="404" spans="1:2" x14ac:dyDescent="0.25">
      <c r="A404" t="s">
        <v>126</v>
      </c>
      <c r="B404" t="s">
        <v>617</v>
      </c>
    </row>
    <row r="405" spans="1:2" x14ac:dyDescent="0.25">
      <c r="A405" t="s">
        <v>99</v>
      </c>
      <c r="B405" t="s">
        <v>617</v>
      </c>
    </row>
    <row r="406" spans="1:2" x14ac:dyDescent="0.25">
      <c r="A406" t="s">
        <v>86</v>
      </c>
      <c r="B406" t="s">
        <v>617</v>
      </c>
    </row>
    <row r="407" spans="1:2" x14ac:dyDescent="0.25">
      <c r="A407" t="s">
        <v>335</v>
      </c>
      <c r="B407" t="s">
        <v>617</v>
      </c>
    </row>
    <row r="408" spans="1:2" x14ac:dyDescent="0.25">
      <c r="A408" t="s">
        <v>518</v>
      </c>
      <c r="B408" t="s">
        <v>621</v>
      </c>
    </row>
    <row r="409" spans="1:2" x14ac:dyDescent="0.25">
      <c r="A409" t="s">
        <v>519</v>
      </c>
      <c r="B409" t="s">
        <v>619</v>
      </c>
    </row>
    <row r="410" spans="1:2" x14ac:dyDescent="0.25">
      <c r="A410" t="s">
        <v>520</v>
      </c>
      <c r="B410" t="s">
        <v>621</v>
      </c>
    </row>
    <row r="411" spans="1:2" x14ac:dyDescent="0.25">
      <c r="A411" t="s">
        <v>524</v>
      </c>
      <c r="B411" t="s">
        <v>619</v>
      </c>
    </row>
    <row r="412" spans="1:2" x14ac:dyDescent="0.25">
      <c r="A412" t="s">
        <v>525</v>
      </c>
      <c r="B412" t="s">
        <v>621</v>
      </c>
    </row>
    <row r="413" spans="1:2" x14ac:dyDescent="0.25">
      <c r="A413" t="s">
        <v>704</v>
      </c>
      <c r="B413" t="s">
        <v>617</v>
      </c>
    </row>
    <row r="414" spans="1:2" x14ac:dyDescent="0.25">
      <c r="A414" t="s">
        <v>526</v>
      </c>
      <c r="B414" t="s">
        <v>617</v>
      </c>
    </row>
    <row r="415" spans="1:2" x14ac:dyDescent="0.25">
      <c r="A415" t="s">
        <v>527</v>
      </c>
      <c r="B415" t="s">
        <v>617</v>
      </c>
    </row>
    <row r="416" spans="1:2" x14ac:dyDescent="0.25">
      <c r="A416" t="s">
        <v>552</v>
      </c>
      <c r="B416" t="s">
        <v>621</v>
      </c>
    </row>
    <row r="417" spans="1:2" x14ac:dyDescent="0.25">
      <c r="A417" t="s">
        <v>555</v>
      </c>
      <c r="B417" t="s">
        <v>621</v>
      </c>
    </row>
    <row r="418" spans="1:2" x14ac:dyDescent="0.25">
      <c r="A418" t="s">
        <v>557</v>
      </c>
      <c r="B418" t="s">
        <v>619</v>
      </c>
    </row>
    <row r="419" spans="1:2" x14ac:dyDescent="0.25">
      <c r="A419" t="s">
        <v>559</v>
      </c>
      <c r="B419" t="s">
        <v>619</v>
      </c>
    </row>
    <row r="420" spans="1:2" x14ac:dyDescent="0.25">
      <c r="A420" t="s">
        <v>561</v>
      </c>
      <c r="B420" t="s">
        <v>621</v>
      </c>
    </row>
    <row r="421" spans="1:2" x14ac:dyDescent="0.25">
      <c r="A421" t="s">
        <v>564</v>
      </c>
      <c r="B421" t="s">
        <v>619</v>
      </c>
    </row>
    <row r="422" spans="1:2" x14ac:dyDescent="0.25">
      <c r="A422" t="s">
        <v>566</v>
      </c>
      <c r="B422" t="s">
        <v>619</v>
      </c>
    </row>
    <row r="423" spans="1:2" x14ac:dyDescent="0.25">
      <c r="A423" t="s">
        <v>568</v>
      </c>
      <c r="B423" t="s">
        <v>621</v>
      </c>
    </row>
    <row r="424" spans="1:2" x14ac:dyDescent="0.25">
      <c r="A424" t="s">
        <v>77</v>
      </c>
      <c r="B424" t="s">
        <v>621</v>
      </c>
    </row>
    <row r="425" spans="1:2" x14ac:dyDescent="0.25">
      <c r="A425" t="s">
        <v>572</v>
      </c>
      <c r="B425" t="s">
        <v>621</v>
      </c>
    </row>
    <row r="426" spans="1:2" x14ac:dyDescent="0.25">
      <c r="A426" t="s">
        <v>89</v>
      </c>
      <c r="B426" t="s">
        <v>621</v>
      </c>
    </row>
    <row r="427" spans="1:2" x14ac:dyDescent="0.25">
      <c r="A427" t="s">
        <v>574</v>
      </c>
      <c r="B427" t="s">
        <v>621</v>
      </c>
    </row>
    <row r="428" spans="1:2" x14ac:dyDescent="0.25">
      <c r="A428" t="s">
        <v>576</v>
      </c>
      <c r="B428" t="s">
        <v>621</v>
      </c>
    </row>
    <row r="429" spans="1:2" x14ac:dyDescent="0.25">
      <c r="A429" t="s">
        <v>73</v>
      </c>
      <c r="B429" t="s">
        <v>621</v>
      </c>
    </row>
    <row r="430" spans="1:2" x14ac:dyDescent="0.25">
      <c r="A430" t="s">
        <v>579</v>
      </c>
      <c r="B430" t="s">
        <v>621</v>
      </c>
    </row>
    <row r="431" spans="1:2" x14ac:dyDescent="0.25">
      <c r="A431" t="s">
        <v>581</v>
      </c>
      <c r="B431" t="s">
        <v>619</v>
      </c>
    </row>
    <row r="432" spans="1:2" x14ac:dyDescent="0.25">
      <c r="A432" t="s">
        <v>66</v>
      </c>
      <c r="B432" t="s">
        <v>621</v>
      </c>
    </row>
    <row r="433" spans="1:2" x14ac:dyDescent="0.25">
      <c r="A433" t="s">
        <v>586</v>
      </c>
      <c r="B433" t="s">
        <v>621</v>
      </c>
    </row>
    <row r="434" spans="1:2" x14ac:dyDescent="0.25">
      <c r="A434" t="s">
        <v>589</v>
      </c>
      <c r="B434" t="s">
        <v>621</v>
      </c>
    </row>
    <row r="435" spans="1:2" x14ac:dyDescent="0.25">
      <c r="A435" t="s">
        <v>591</v>
      </c>
      <c r="B435" t="s">
        <v>619</v>
      </c>
    </row>
    <row r="436" spans="1:2" x14ac:dyDescent="0.25">
      <c r="A436" t="s">
        <v>593</v>
      </c>
      <c r="B436" t="s">
        <v>619</v>
      </c>
    </row>
    <row r="437" spans="1:2" x14ac:dyDescent="0.25">
      <c r="A437" t="s">
        <v>596</v>
      </c>
      <c r="B437" t="s">
        <v>621</v>
      </c>
    </row>
    <row r="438" spans="1:2" x14ac:dyDescent="0.25">
      <c r="A438" t="s">
        <v>598</v>
      </c>
      <c r="B438" t="s">
        <v>621</v>
      </c>
    </row>
    <row r="439" spans="1:2" x14ac:dyDescent="0.25">
      <c r="A439" t="s">
        <v>334</v>
      </c>
      <c r="B439" t="s">
        <v>617</v>
      </c>
    </row>
    <row r="440" spans="1:2" x14ac:dyDescent="0.25">
      <c r="A440" t="s">
        <v>705</v>
      </c>
      <c r="B440" t="s">
        <v>617</v>
      </c>
    </row>
    <row r="441" spans="1:2" x14ac:dyDescent="0.25">
      <c r="A441" t="s">
        <v>594</v>
      </c>
      <c r="B441" t="s">
        <v>617</v>
      </c>
    </row>
    <row r="442" spans="1:2" x14ac:dyDescent="0.25">
      <c r="A442" t="s">
        <v>406</v>
      </c>
      <c r="B442" t="s">
        <v>617</v>
      </c>
    </row>
    <row r="443" spans="1:2" x14ac:dyDescent="0.25">
      <c r="A443" t="s">
        <v>706</v>
      </c>
      <c r="B443" t="s">
        <v>617</v>
      </c>
    </row>
    <row r="444" spans="1:2" x14ac:dyDescent="0.25">
      <c r="A444" t="s">
        <v>707</v>
      </c>
      <c r="B444" t="s">
        <v>613</v>
      </c>
    </row>
    <row r="445" spans="1:2" x14ac:dyDescent="0.25">
      <c r="A445" t="s">
        <v>708</v>
      </c>
      <c r="B445" t="s">
        <v>613</v>
      </c>
    </row>
    <row r="446" spans="1:2" x14ac:dyDescent="0.25">
      <c r="A446" t="s">
        <v>495</v>
      </c>
      <c r="B446" t="s">
        <v>617</v>
      </c>
    </row>
    <row r="447" spans="1:2" x14ac:dyDescent="0.25">
      <c r="A447" t="s">
        <v>709</v>
      </c>
      <c r="B447" t="s">
        <v>621</v>
      </c>
    </row>
    <row r="448" spans="1:2" x14ac:dyDescent="0.25">
      <c r="A448" t="s">
        <v>444</v>
      </c>
      <c r="B448" t="s">
        <v>613</v>
      </c>
    </row>
    <row r="449" spans="1:2" x14ac:dyDescent="0.25">
      <c r="A449" t="s">
        <v>584</v>
      </c>
      <c r="B449" t="s">
        <v>613</v>
      </c>
    </row>
    <row r="450" spans="1:2" x14ac:dyDescent="0.25">
      <c r="A450" t="s">
        <v>710</v>
      </c>
      <c r="B450" t="s">
        <v>613</v>
      </c>
    </row>
    <row r="451" spans="1:2" x14ac:dyDescent="0.25">
      <c r="A451" t="s">
        <v>711</v>
      </c>
      <c r="B451" t="s">
        <v>613</v>
      </c>
    </row>
    <row r="452" spans="1:2" x14ac:dyDescent="0.25">
      <c r="A452" t="s">
        <v>712</v>
      </c>
      <c r="B452" t="s">
        <v>613</v>
      </c>
    </row>
    <row r="453" spans="1:2" x14ac:dyDescent="0.25">
      <c r="A453" t="s">
        <v>713</v>
      </c>
      <c r="B453" t="s">
        <v>621</v>
      </c>
    </row>
    <row r="454" spans="1:2" x14ac:dyDescent="0.25">
      <c r="A454" t="s">
        <v>171</v>
      </c>
      <c r="B454" t="s">
        <v>621</v>
      </c>
    </row>
    <row r="455" spans="1:2" x14ac:dyDescent="0.25">
      <c r="A455" t="s">
        <v>714</v>
      </c>
      <c r="B455" t="s">
        <v>619</v>
      </c>
    </row>
    <row r="456" spans="1:2" x14ac:dyDescent="0.25">
      <c r="A456" t="s">
        <v>715</v>
      </c>
      <c r="B456" t="s">
        <v>619</v>
      </c>
    </row>
    <row r="457" spans="1:2" x14ac:dyDescent="0.25">
      <c r="A457" t="s">
        <v>333</v>
      </c>
      <c r="B457" t="s">
        <v>613</v>
      </c>
    </row>
    <row r="458" spans="1:2" x14ac:dyDescent="0.25">
      <c r="A458" t="s">
        <v>716</v>
      </c>
      <c r="B458" t="s">
        <v>619</v>
      </c>
    </row>
    <row r="459" spans="1:2" x14ac:dyDescent="0.25">
      <c r="A459" t="s">
        <v>717</v>
      </c>
      <c r="B459" t="s">
        <v>619</v>
      </c>
    </row>
    <row r="460" spans="1:2" x14ac:dyDescent="0.25">
      <c r="A460" t="s">
        <v>303</v>
      </c>
      <c r="B460" t="s">
        <v>613</v>
      </c>
    </row>
    <row r="461" spans="1:2" x14ac:dyDescent="0.25">
      <c r="A461" t="s">
        <v>250</v>
      </c>
      <c r="B461" t="s">
        <v>621</v>
      </c>
    </row>
    <row r="462" spans="1:2" x14ac:dyDescent="0.25">
      <c r="A462" t="s">
        <v>718</v>
      </c>
      <c r="B462" t="s">
        <v>619</v>
      </c>
    </row>
    <row r="463" spans="1:2" x14ac:dyDescent="0.25">
      <c r="A463" t="s">
        <v>85</v>
      </c>
      <c r="B463" t="s">
        <v>621</v>
      </c>
    </row>
    <row r="464" spans="1:2" x14ac:dyDescent="0.25">
      <c r="A464" t="s">
        <v>339</v>
      </c>
      <c r="B464" t="s">
        <v>621</v>
      </c>
    </row>
    <row r="465" spans="1:2" x14ac:dyDescent="0.25">
      <c r="A465" t="s">
        <v>376</v>
      </c>
      <c r="B465" t="s">
        <v>621</v>
      </c>
    </row>
    <row r="466" spans="1:2" x14ac:dyDescent="0.25">
      <c r="A466" t="s">
        <v>386</v>
      </c>
      <c r="B466" t="s">
        <v>621</v>
      </c>
    </row>
    <row r="467" spans="1:2" x14ac:dyDescent="0.25">
      <c r="A467" t="s">
        <v>719</v>
      </c>
      <c r="B467" t="s">
        <v>617</v>
      </c>
    </row>
    <row r="468" spans="1:2" x14ac:dyDescent="0.25">
      <c r="A468" t="s">
        <v>439</v>
      </c>
      <c r="B468" t="s">
        <v>619</v>
      </c>
    </row>
    <row r="469" spans="1:2" x14ac:dyDescent="0.25">
      <c r="A469" t="s">
        <v>443</v>
      </c>
      <c r="B469" t="s">
        <v>619</v>
      </c>
    </row>
    <row r="470" spans="1:2" x14ac:dyDescent="0.25">
      <c r="A470" t="s">
        <v>569</v>
      </c>
      <c r="B470" t="s">
        <v>617</v>
      </c>
    </row>
    <row r="471" spans="1:2" x14ac:dyDescent="0.25">
      <c r="A471" t="s">
        <v>129</v>
      </c>
      <c r="B471" t="s">
        <v>617</v>
      </c>
    </row>
    <row r="472" spans="1:2" x14ac:dyDescent="0.25">
      <c r="A472" t="s">
        <v>438</v>
      </c>
      <c r="B472" t="s">
        <v>613</v>
      </c>
    </row>
    <row r="473" spans="1:2" x14ac:dyDescent="0.25">
      <c r="A473" t="s">
        <v>720</v>
      </c>
      <c r="B473" t="s">
        <v>613</v>
      </c>
    </row>
    <row r="474" spans="1:2" x14ac:dyDescent="0.25">
      <c r="A474" t="s">
        <v>442</v>
      </c>
      <c r="B474" t="s">
        <v>613</v>
      </c>
    </row>
    <row r="475" spans="1:2" x14ac:dyDescent="0.25">
      <c r="A475" t="s">
        <v>447</v>
      </c>
      <c r="B475" t="s">
        <v>613</v>
      </c>
    </row>
    <row r="476" spans="1:2" x14ac:dyDescent="0.25">
      <c r="A476" t="s">
        <v>721</v>
      </c>
      <c r="B476" t="s">
        <v>613</v>
      </c>
    </row>
    <row r="477" spans="1:2" x14ac:dyDescent="0.25">
      <c r="A477" t="s">
        <v>449</v>
      </c>
      <c r="B477" t="s">
        <v>613</v>
      </c>
    </row>
    <row r="478" spans="1:2" x14ac:dyDescent="0.25">
      <c r="A478" t="s">
        <v>81</v>
      </c>
      <c r="B478" t="s">
        <v>619</v>
      </c>
    </row>
    <row r="479" spans="1:2" x14ac:dyDescent="0.25">
      <c r="A479" t="s">
        <v>722</v>
      </c>
      <c r="B479" t="s">
        <v>617</v>
      </c>
    </row>
    <row r="480" spans="1:2" x14ac:dyDescent="0.25">
      <c r="A480" t="s">
        <v>723</v>
      </c>
      <c r="B480" t="s">
        <v>621</v>
      </c>
    </row>
    <row r="481" spans="1:2" x14ac:dyDescent="0.25">
      <c r="A481" t="s">
        <v>455</v>
      </c>
      <c r="B481" t="s">
        <v>613</v>
      </c>
    </row>
    <row r="482" spans="1:2" x14ac:dyDescent="0.25">
      <c r="A482" t="s">
        <v>437</v>
      </c>
      <c r="B482" t="s">
        <v>619</v>
      </c>
    </row>
    <row r="483" spans="1:2" x14ac:dyDescent="0.25">
      <c r="A483" t="s">
        <v>724</v>
      </c>
      <c r="B483" t="s">
        <v>621</v>
      </c>
    </row>
    <row r="484" spans="1:2" x14ac:dyDescent="0.25">
      <c r="A484" t="s">
        <v>453</v>
      </c>
      <c r="B484" t="s">
        <v>619</v>
      </c>
    </row>
    <row r="485" spans="1:2" x14ac:dyDescent="0.25">
      <c r="A485" t="s">
        <v>725</v>
      </c>
      <c r="B485" t="s">
        <v>621</v>
      </c>
    </row>
    <row r="486" spans="1:2" x14ac:dyDescent="0.25">
      <c r="A486" t="s">
        <v>726</v>
      </c>
      <c r="B486" t="s">
        <v>621</v>
      </c>
    </row>
    <row r="487" spans="1:2" x14ac:dyDescent="0.25">
      <c r="A487" t="s">
        <v>727</v>
      </c>
      <c r="B487" t="s">
        <v>613</v>
      </c>
    </row>
    <row r="488" spans="1:2" x14ac:dyDescent="0.25">
      <c r="A488" t="s">
        <v>251</v>
      </c>
      <c r="B488" t="s">
        <v>613</v>
      </c>
    </row>
    <row r="489" spans="1:2" x14ac:dyDescent="0.25">
      <c r="A489" t="s">
        <v>728</v>
      </c>
      <c r="B489" t="s">
        <v>617</v>
      </c>
    </row>
    <row r="490" spans="1:2" x14ac:dyDescent="0.25">
      <c r="A490" t="s">
        <v>729</v>
      </c>
      <c r="B490" t="s">
        <v>617</v>
      </c>
    </row>
    <row r="491" spans="1:2" x14ac:dyDescent="0.25">
      <c r="A491" t="s">
        <v>316</v>
      </c>
      <c r="B491" t="s">
        <v>613</v>
      </c>
    </row>
    <row r="492" spans="1:2" x14ac:dyDescent="0.25">
      <c r="A492" t="s">
        <v>312</v>
      </c>
      <c r="B492" t="s">
        <v>613</v>
      </c>
    </row>
    <row r="493" spans="1:2" x14ac:dyDescent="0.25">
      <c r="A493" t="s">
        <v>151</v>
      </c>
      <c r="B493" t="s">
        <v>617</v>
      </c>
    </row>
    <row r="494" spans="1:2" x14ac:dyDescent="0.25">
      <c r="A494" t="s">
        <v>730</v>
      </c>
      <c r="B494" t="s">
        <v>617</v>
      </c>
    </row>
    <row r="495" spans="1:2" x14ac:dyDescent="0.25">
      <c r="A495" t="s">
        <v>357</v>
      </c>
      <c r="B495" t="s">
        <v>617</v>
      </c>
    </row>
    <row r="496" spans="1:2" x14ac:dyDescent="0.25">
      <c r="A496" t="s">
        <v>731</v>
      </c>
      <c r="B496" t="s">
        <v>617</v>
      </c>
    </row>
    <row r="497" spans="1:2" x14ac:dyDescent="0.25">
      <c r="A497" t="s">
        <v>436</v>
      </c>
      <c r="B497" t="s">
        <v>617</v>
      </c>
    </row>
    <row r="498" spans="1:2" x14ac:dyDescent="0.25">
      <c r="A498" t="s">
        <v>583</v>
      </c>
      <c r="B498" t="s">
        <v>619</v>
      </c>
    </row>
    <row r="499" spans="1:2" x14ac:dyDescent="0.25">
      <c r="A499" t="s">
        <v>113</v>
      </c>
      <c r="B499" t="s">
        <v>617</v>
      </c>
    </row>
    <row r="500" spans="1:2" x14ac:dyDescent="0.25">
      <c r="A500" t="s">
        <v>105</v>
      </c>
      <c r="B500" t="s">
        <v>617</v>
      </c>
    </row>
    <row r="501" spans="1:2" x14ac:dyDescent="0.25">
      <c r="A501" t="s">
        <v>461</v>
      </c>
      <c r="B501" t="s">
        <v>613</v>
      </c>
    </row>
    <row r="502" spans="1:2" x14ac:dyDescent="0.25">
      <c r="A502" t="s">
        <v>108</v>
      </c>
      <c r="B502" t="s">
        <v>617</v>
      </c>
    </row>
    <row r="503" spans="1:2" x14ac:dyDescent="0.25">
      <c r="A503" t="s">
        <v>429</v>
      </c>
      <c r="B503" t="s">
        <v>613</v>
      </c>
    </row>
    <row r="504" spans="1:2" x14ac:dyDescent="0.25">
      <c r="A504" t="s">
        <v>115</v>
      </c>
      <c r="B504" t="s">
        <v>617</v>
      </c>
    </row>
    <row r="505" spans="1:2" x14ac:dyDescent="0.25">
      <c r="A505" t="s">
        <v>88</v>
      </c>
      <c r="B505" t="s">
        <v>617</v>
      </c>
    </row>
    <row r="506" spans="1:2" x14ac:dyDescent="0.25">
      <c r="A506" t="s">
        <v>95</v>
      </c>
      <c r="B506" t="s">
        <v>617</v>
      </c>
    </row>
    <row r="507" spans="1:2" x14ac:dyDescent="0.25">
      <c r="A507" t="s">
        <v>732</v>
      </c>
      <c r="B507" t="s">
        <v>613</v>
      </c>
    </row>
    <row r="508" spans="1:2" x14ac:dyDescent="0.25">
      <c r="A508" t="s">
        <v>101</v>
      </c>
      <c r="B508" t="s">
        <v>617</v>
      </c>
    </row>
    <row r="509" spans="1:2" x14ac:dyDescent="0.25">
      <c r="A509" t="s">
        <v>733</v>
      </c>
      <c r="B509" t="s">
        <v>617</v>
      </c>
    </row>
    <row r="510" spans="1:2" x14ac:dyDescent="0.25">
      <c r="A510" t="s">
        <v>734</v>
      </c>
      <c r="B510" t="s">
        <v>613</v>
      </c>
    </row>
    <row r="511" spans="1:2" x14ac:dyDescent="0.25">
      <c r="A511" t="s">
        <v>735</v>
      </c>
      <c r="B511" t="s">
        <v>619</v>
      </c>
    </row>
    <row r="512" spans="1:2" x14ac:dyDescent="0.25">
      <c r="A512" t="s">
        <v>736</v>
      </c>
      <c r="B512" t="s">
        <v>617</v>
      </c>
    </row>
    <row r="513" spans="1:2" x14ac:dyDescent="0.25">
      <c r="A513" t="s">
        <v>737</v>
      </c>
      <c r="B513" t="s">
        <v>617</v>
      </c>
    </row>
    <row r="514" spans="1:2" x14ac:dyDescent="0.25">
      <c r="A514" t="s">
        <v>738</v>
      </c>
      <c r="B514" t="s">
        <v>619</v>
      </c>
    </row>
    <row r="515" spans="1:2" x14ac:dyDescent="0.25">
      <c r="A515" t="s">
        <v>150</v>
      </c>
      <c r="B515" t="s">
        <v>617</v>
      </c>
    </row>
    <row r="516" spans="1:2" x14ac:dyDescent="0.25">
      <c r="A516" t="s">
        <v>440</v>
      </c>
      <c r="B516" t="s">
        <v>613</v>
      </c>
    </row>
    <row r="517" spans="1:2" x14ac:dyDescent="0.25">
      <c r="A517" t="s">
        <v>168</v>
      </c>
      <c r="B517" t="s">
        <v>619</v>
      </c>
    </row>
    <row r="518" spans="1:2" x14ac:dyDescent="0.25">
      <c r="A518" t="s">
        <v>739</v>
      </c>
      <c r="B518" t="s">
        <v>617</v>
      </c>
    </row>
    <row r="519" spans="1:2" x14ac:dyDescent="0.25">
      <c r="A519" t="s">
        <v>740</v>
      </c>
      <c r="B519" t="s">
        <v>617</v>
      </c>
    </row>
    <row r="520" spans="1:2" x14ac:dyDescent="0.25">
      <c r="A520" t="s">
        <v>741</v>
      </c>
      <c r="B520" t="s">
        <v>617</v>
      </c>
    </row>
    <row r="521" spans="1:2" x14ac:dyDescent="0.25">
      <c r="A521" t="s">
        <v>419</v>
      </c>
      <c r="B521" t="s">
        <v>613</v>
      </c>
    </row>
    <row r="522" spans="1:2" x14ac:dyDescent="0.25">
      <c r="A522" t="s">
        <v>742</v>
      </c>
      <c r="B522" t="s">
        <v>617</v>
      </c>
    </row>
    <row r="523" spans="1:2" x14ac:dyDescent="0.25">
      <c r="A523" t="s">
        <v>388</v>
      </c>
      <c r="B523" t="s">
        <v>613</v>
      </c>
    </row>
    <row r="524" spans="1:2" x14ac:dyDescent="0.25">
      <c r="A524" t="s">
        <v>387</v>
      </c>
      <c r="B524" t="s">
        <v>613</v>
      </c>
    </row>
    <row r="525" spans="1:2" x14ac:dyDescent="0.25">
      <c r="A525" t="s">
        <v>350</v>
      </c>
      <c r="B525" t="s">
        <v>617</v>
      </c>
    </row>
    <row r="526" spans="1:2" x14ac:dyDescent="0.25">
      <c r="A526" t="s">
        <v>259</v>
      </c>
      <c r="B526" t="s">
        <v>617</v>
      </c>
    </row>
    <row r="527" spans="1:2" x14ac:dyDescent="0.25">
      <c r="A527" t="s">
        <v>743</v>
      </c>
      <c r="B527" t="s">
        <v>613</v>
      </c>
    </row>
    <row r="528" spans="1:2" x14ac:dyDescent="0.25">
      <c r="A528" t="s">
        <v>324</v>
      </c>
      <c r="B528" t="s">
        <v>617</v>
      </c>
    </row>
    <row r="529" spans="1:2" x14ac:dyDescent="0.25">
      <c r="A529" t="s">
        <v>208</v>
      </c>
      <c r="B529" t="s">
        <v>621</v>
      </c>
    </row>
    <row r="530" spans="1:2" x14ac:dyDescent="0.25">
      <c r="A530" t="s">
        <v>744</v>
      </c>
      <c r="B530" t="s">
        <v>619</v>
      </c>
    </row>
    <row r="531" spans="1:2" x14ac:dyDescent="0.25">
      <c r="A531" t="s">
        <v>441</v>
      </c>
      <c r="B531" t="s">
        <v>619</v>
      </c>
    </row>
    <row r="532" spans="1:2" x14ac:dyDescent="0.25">
      <c r="A532" t="s">
        <v>133</v>
      </c>
      <c r="B532" t="s">
        <v>619</v>
      </c>
    </row>
    <row r="533" spans="1:2" x14ac:dyDescent="0.25">
      <c r="A533" t="s">
        <v>332</v>
      </c>
      <c r="B533" t="s">
        <v>613</v>
      </c>
    </row>
    <row r="534" spans="1:2" x14ac:dyDescent="0.25">
      <c r="A534" t="s">
        <v>331</v>
      </c>
      <c r="B534" t="s">
        <v>613</v>
      </c>
    </row>
    <row r="535" spans="1:2" x14ac:dyDescent="0.25">
      <c r="A535" t="s">
        <v>65</v>
      </c>
      <c r="B535" t="s">
        <v>621</v>
      </c>
    </row>
    <row r="536" spans="1:2" x14ac:dyDescent="0.25">
      <c r="A536" t="s">
        <v>75</v>
      </c>
      <c r="B536" t="s">
        <v>621</v>
      </c>
    </row>
    <row r="537" spans="1:2" x14ac:dyDescent="0.25">
      <c r="A537" t="s">
        <v>78</v>
      </c>
      <c r="B537" t="s">
        <v>619</v>
      </c>
    </row>
    <row r="538" spans="1:2" x14ac:dyDescent="0.25">
      <c r="A538" t="s">
        <v>82</v>
      </c>
      <c r="B538" t="s">
        <v>619</v>
      </c>
    </row>
    <row r="539" spans="1:2" x14ac:dyDescent="0.25">
      <c r="A539" t="s">
        <v>87</v>
      </c>
      <c r="B539" t="s">
        <v>621</v>
      </c>
    </row>
    <row r="540" spans="1:2" x14ac:dyDescent="0.25">
      <c r="A540" t="s">
        <v>93</v>
      </c>
      <c r="B540" t="s">
        <v>621</v>
      </c>
    </row>
    <row r="541" spans="1:2" x14ac:dyDescent="0.25">
      <c r="A541" t="s">
        <v>98</v>
      </c>
      <c r="B541" t="s">
        <v>621</v>
      </c>
    </row>
    <row r="542" spans="1:2" x14ac:dyDescent="0.25">
      <c r="A542" t="s">
        <v>100</v>
      </c>
      <c r="B542" t="s">
        <v>621</v>
      </c>
    </row>
    <row r="543" spans="1:2" x14ac:dyDescent="0.25">
      <c r="A543" t="s">
        <v>104</v>
      </c>
      <c r="B543" t="s">
        <v>621</v>
      </c>
    </row>
    <row r="544" spans="1:2" x14ac:dyDescent="0.25">
      <c r="A544" t="s">
        <v>106</v>
      </c>
      <c r="B544" t="s">
        <v>621</v>
      </c>
    </row>
    <row r="545" spans="1:2" x14ac:dyDescent="0.25">
      <c r="A545" t="s">
        <v>112</v>
      </c>
      <c r="B545" t="s">
        <v>621</v>
      </c>
    </row>
    <row r="546" spans="1:2" x14ac:dyDescent="0.25">
      <c r="A546" t="s">
        <v>114</v>
      </c>
      <c r="B546" t="s">
        <v>621</v>
      </c>
    </row>
    <row r="547" spans="1:2" x14ac:dyDescent="0.25">
      <c r="A547" t="s">
        <v>120</v>
      </c>
      <c r="B547" t="s">
        <v>621</v>
      </c>
    </row>
    <row r="548" spans="1:2" x14ac:dyDescent="0.25">
      <c r="A548" t="s">
        <v>745</v>
      </c>
      <c r="B548" t="s">
        <v>621</v>
      </c>
    </row>
    <row r="549" spans="1:2" x14ac:dyDescent="0.25">
      <c r="A549" t="s">
        <v>372</v>
      </c>
      <c r="B549" t="s">
        <v>619</v>
      </c>
    </row>
    <row r="550" spans="1:2" x14ac:dyDescent="0.25">
      <c r="A550" t="s">
        <v>155</v>
      </c>
      <c r="B550" t="s">
        <v>617</v>
      </c>
    </row>
    <row r="551" spans="1:2" x14ac:dyDescent="0.25">
      <c r="A551" t="s">
        <v>226</v>
      </c>
      <c r="B551" t="s">
        <v>617</v>
      </c>
    </row>
    <row r="552" spans="1:2" x14ac:dyDescent="0.25">
      <c r="A552" t="s">
        <v>746</v>
      </c>
      <c r="B552" t="s">
        <v>617</v>
      </c>
    </row>
    <row r="553" spans="1:2" x14ac:dyDescent="0.25">
      <c r="A553" t="s">
        <v>452</v>
      </c>
      <c r="B553" t="s">
        <v>617</v>
      </c>
    </row>
    <row r="554" spans="1:2" x14ac:dyDescent="0.25">
      <c r="A554" t="s">
        <v>420</v>
      </c>
      <c r="B554" t="s">
        <v>621</v>
      </c>
    </row>
    <row r="555" spans="1:2" x14ac:dyDescent="0.25">
      <c r="A555" t="s">
        <v>375</v>
      </c>
      <c r="B555" t="s">
        <v>619</v>
      </c>
    </row>
    <row r="556" spans="1:2" x14ac:dyDescent="0.25">
      <c r="A556" t="s">
        <v>121</v>
      </c>
      <c r="B556" t="s">
        <v>613</v>
      </c>
    </row>
    <row r="557" spans="1:2" x14ac:dyDescent="0.25">
      <c r="A557" t="s">
        <v>80</v>
      </c>
      <c r="B557" t="s">
        <v>613</v>
      </c>
    </row>
    <row r="558" spans="1:2" x14ac:dyDescent="0.25">
      <c r="A558" t="s">
        <v>76</v>
      </c>
      <c r="B558" t="s">
        <v>613</v>
      </c>
    </row>
    <row r="559" spans="1:2" x14ac:dyDescent="0.25">
      <c r="A559" t="s">
        <v>747</v>
      </c>
      <c r="B559" t="s">
        <v>617</v>
      </c>
    </row>
    <row r="560" spans="1:2" x14ac:dyDescent="0.25">
      <c r="A560" t="s">
        <v>748</v>
      </c>
      <c r="B560" t="s">
        <v>613</v>
      </c>
    </row>
    <row r="561" spans="1:2" x14ac:dyDescent="0.25">
      <c r="A561" t="s">
        <v>234</v>
      </c>
      <c r="B561" t="s">
        <v>617</v>
      </c>
    </row>
    <row r="562" spans="1:2" x14ac:dyDescent="0.25">
      <c r="A562" t="s">
        <v>378</v>
      </c>
      <c r="B562" t="s">
        <v>621</v>
      </c>
    </row>
    <row r="563" spans="1:2" x14ac:dyDescent="0.25">
      <c r="A563" t="s">
        <v>374</v>
      </c>
      <c r="B563" t="s">
        <v>621</v>
      </c>
    </row>
    <row r="564" spans="1:2" x14ac:dyDescent="0.25">
      <c r="A564" t="s">
        <v>446</v>
      </c>
      <c r="B564" t="s">
        <v>613</v>
      </c>
    </row>
    <row r="565" spans="1:2" x14ac:dyDescent="0.25">
      <c r="A565" t="s">
        <v>236</v>
      </c>
      <c r="B565" t="s">
        <v>613</v>
      </c>
    </row>
    <row r="566" spans="1:2" x14ac:dyDescent="0.25">
      <c r="A566" t="s">
        <v>425</v>
      </c>
      <c r="B566" t="s">
        <v>613</v>
      </c>
    </row>
    <row r="567" spans="1:2" x14ac:dyDescent="0.25">
      <c r="A567" t="s">
        <v>423</v>
      </c>
      <c r="B567" t="s">
        <v>613</v>
      </c>
    </row>
    <row r="568" spans="1:2" x14ac:dyDescent="0.25">
      <c r="A568" t="s">
        <v>448</v>
      </c>
      <c r="B568" t="s">
        <v>613</v>
      </c>
    </row>
    <row r="569" spans="1:2" x14ac:dyDescent="0.25">
      <c r="A569" t="s">
        <v>233</v>
      </c>
      <c r="B569" t="s">
        <v>613</v>
      </c>
    </row>
    <row r="570" spans="1:2" x14ac:dyDescent="0.25">
      <c r="A570" t="s">
        <v>422</v>
      </c>
      <c r="B570" t="s">
        <v>619</v>
      </c>
    </row>
    <row r="571" spans="1:2" x14ac:dyDescent="0.25">
      <c r="A571" t="s">
        <v>424</v>
      </c>
      <c r="B571" t="s">
        <v>621</v>
      </c>
    </row>
    <row r="572" spans="1:2" x14ac:dyDescent="0.25">
      <c r="A572" t="s">
        <v>749</v>
      </c>
      <c r="B572" t="s">
        <v>613</v>
      </c>
    </row>
    <row r="573" spans="1:2" x14ac:dyDescent="0.25">
      <c r="A573" t="s">
        <v>750</v>
      </c>
      <c r="B573" t="s">
        <v>617</v>
      </c>
    </row>
    <row r="574" spans="1:2" x14ac:dyDescent="0.25">
      <c r="A574" t="s">
        <v>751</v>
      </c>
      <c r="B574" t="s">
        <v>617</v>
      </c>
    </row>
    <row r="575" spans="1:2" x14ac:dyDescent="0.25">
      <c r="A575" t="s">
        <v>752</v>
      </c>
      <c r="B575" t="s">
        <v>617</v>
      </c>
    </row>
    <row r="576" spans="1:2" x14ac:dyDescent="0.25">
      <c r="A576" t="s">
        <v>445</v>
      </c>
      <c r="B576" t="s">
        <v>619</v>
      </c>
    </row>
    <row r="577" spans="1:2" x14ac:dyDescent="0.25">
      <c r="A577" t="s">
        <v>72</v>
      </c>
      <c r="B577" t="s">
        <v>619</v>
      </c>
    </row>
    <row r="578" spans="1:2" x14ac:dyDescent="0.25">
      <c r="A578" t="s">
        <v>232</v>
      </c>
      <c r="B578" t="s">
        <v>621</v>
      </c>
    </row>
    <row r="579" spans="1:2" x14ac:dyDescent="0.25">
      <c r="A579" t="s">
        <v>235</v>
      </c>
      <c r="B579" t="s">
        <v>621</v>
      </c>
    </row>
    <row r="580" spans="1:2" x14ac:dyDescent="0.25">
      <c r="A580" t="s">
        <v>515</v>
      </c>
      <c r="B580" t="s">
        <v>613</v>
      </c>
    </row>
    <row r="581" spans="1:2" x14ac:dyDescent="0.25">
      <c r="A581" t="s">
        <v>753</v>
      </c>
      <c r="B581" t="s">
        <v>613</v>
      </c>
    </row>
    <row r="582" spans="1:2" x14ac:dyDescent="0.25">
      <c r="A582" t="s">
        <v>122</v>
      </c>
      <c r="B582" t="s">
        <v>619</v>
      </c>
    </row>
    <row r="583" spans="1:2" x14ac:dyDescent="0.25">
      <c r="A583" t="s">
        <v>125</v>
      </c>
      <c r="B583" t="s">
        <v>621</v>
      </c>
    </row>
    <row r="584" spans="1:2" x14ac:dyDescent="0.25">
      <c r="A584" t="s">
        <v>182</v>
      </c>
      <c r="B584" t="s">
        <v>613</v>
      </c>
    </row>
    <row r="585" spans="1:2" x14ac:dyDescent="0.25">
      <c r="A585" t="s">
        <v>71</v>
      </c>
      <c r="B585" t="s">
        <v>621</v>
      </c>
    </row>
    <row r="586" spans="1:2" x14ac:dyDescent="0.25">
      <c r="A586" t="s">
        <v>238</v>
      </c>
      <c r="B586" t="s">
        <v>613</v>
      </c>
    </row>
    <row r="587" spans="1:2" x14ac:dyDescent="0.25">
      <c r="A587" t="s">
        <v>368</v>
      </c>
      <c r="B587" t="s">
        <v>613</v>
      </c>
    </row>
    <row r="588" spans="1:2" x14ac:dyDescent="0.25">
      <c r="A588" t="s">
        <v>371</v>
      </c>
      <c r="B588" t="s">
        <v>613</v>
      </c>
    </row>
    <row r="589" spans="1:2" x14ac:dyDescent="0.25">
      <c r="A589" t="s">
        <v>128</v>
      </c>
      <c r="B589" t="s">
        <v>621</v>
      </c>
    </row>
    <row r="590" spans="1:2" x14ac:dyDescent="0.25">
      <c r="A590" t="s">
        <v>379</v>
      </c>
      <c r="B590" t="s">
        <v>621</v>
      </c>
    </row>
    <row r="591" spans="1:2" x14ac:dyDescent="0.25">
      <c r="A591" t="s">
        <v>754</v>
      </c>
      <c r="B591" t="s">
        <v>617</v>
      </c>
    </row>
    <row r="592" spans="1:2" x14ac:dyDescent="0.25">
      <c r="A592" t="s">
        <v>132</v>
      </c>
      <c r="B592" t="s">
        <v>617</v>
      </c>
    </row>
    <row r="593" spans="1:2" x14ac:dyDescent="0.25">
      <c r="A593" t="s">
        <v>131</v>
      </c>
      <c r="B593" t="s">
        <v>619</v>
      </c>
    </row>
    <row r="594" spans="1:2" x14ac:dyDescent="0.25">
      <c r="A594" t="s">
        <v>237</v>
      </c>
      <c r="B594" t="s">
        <v>621</v>
      </c>
    </row>
    <row r="595" spans="1:2" x14ac:dyDescent="0.25">
      <c r="A595" t="s">
        <v>240</v>
      </c>
      <c r="B595" t="s">
        <v>613</v>
      </c>
    </row>
    <row r="596" spans="1:2" x14ac:dyDescent="0.25">
      <c r="A596" t="s">
        <v>239</v>
      </c>
      <c r="B596" t="s">
        <v>621</v>
      </c>
    </row>
    <row r="597" spans="1:2" x14ac:dyDescent="0.25">
      <c r="A597" t="s">
        <v>154</v>
      </c>
      <c r="B597" t="s">
        <v>617</v>
      </c>
    </row>
    <row r="598" spans="1:2" x14ac:dyDescent="0.25">
      <c r="A598" t="s">
        <v>116</v>
      </c>
      <c r="B598" t="s">
        <v>621</v>
      </c>
    </row>
    <row r="599" spans="1:2" x14ac:dyDescent="0.25">
      <c r="A599" t="s">
        <v>135</v>
      </c>
      <c r="B599" t="s">
        <v>613</v>
      </c>
    </row>
    <row r="600" spans="1:2" x14ac:dyDescent="0.25">
      <c r="A600" t="s">
        <v>755</v>
      </c>
      <c r="B600" t="s">
        <v>617</v>
      </c>
    </row>
    <row r="601" spans="1:2" x14ac:dyDescent="0.25">
      <c r="A601" t="s">
        <v>756</v>
      </c>
      <c r="B601" t="s">
        <v>613</v>
      </c>
    </row>
    <row r="602" spans="1:2" x14ac:dyDescent="0.25">
      <c r="A602" t="s">
        <v>757</v>
      </c>
      <c r="B602" t="s">
        <v>613</v>
      </c>
    </row>
    <row r="603" spans="1:2" x14ac:dyDescent="0.25">
      <c r="A603" t="s">
        <v>370</v>
      </c>
      <c r="B603" t="s">
        <v>613</v>
      </c>
    </row>
    <row r="604" spans="1:2" x14ac:dyDescent="0.25">
      <c r="A604" t="s">
        <v>69</v>
      </c>
      <c r="B604" t="s">
        <v>621</v>
      </c>
    </row>
    <row r="605" spans="1:2" x14ac:dyDescent="0.25">
      <c r="A605" t="s">
        <v>369</v>
      </c>
      <c r="B605" t="s">
        <v>617</v>
      </c>
    </row>
    <row r="606" spans="1:2" x14ac:dyDescent="0.25">
      <c r="A606" t="s">
        <v>165</v>
      </c>
      <c r="B606" t="s">
        <v>617</v>
      </c>
    </row>
    <row r="607" spans="1:2" x14ac:dyDescent="0.25">
      <c r="A607" t="s">
        <v>590</v>
      </c>
      <c r="B607" t="s">
        <v>617</v>
      </c>
    </row>
    <row r="608" spans="1:2" x14ac:dyDescent="0.25">
      <c r="A608" t="s">
        <v>330</v>
      </c>
      <c r="B608" t="s">
        <v>617</v>
      </c>
    </row>
    <row r="609" spans="1:2" x14ac:dyDescent="0.25">
      <c r="A609" t="s">
        <v>367</v>
      </c>
      <c r="B609" t="s">
        <v>621</v>
      </c>
    </row>
    <row r="610" spans="1:2" x14ac:dyDescent="0.25">
      <c r="A610" t="s">
        <v>342</v>
      </c>
      <c r="B610" t="s">
        <v>617</v>
      </c>
    </row>
    <row r="611" spans="1:2" x14ac:dyDescent="0.25">
      <c r="A611" t="s">
        <v>758</v>
      </c>
      <c r="B611" t="s">
        <v>617</v>
      </c>
    </row>
    <row r="612" spans="1:2" x14ac:dyDescent="0.25">
      <c r="A612" t="s">
        <v>759</v>
      </c>
      <c r="B612" t="s">
        <v>617</v>
      </c>
    </row>
    <row r="613" spans="1:2" x14ac:dyDescent="0.25">
      <c r="A613" t="s">
        <v>760</v>
      </c>
      <c r="B613" t="s">
        <v>617</v>
      </c>
    </row>
    <row r="614" spans="1:2" x14ac:dyDescent="0.25">
      <c r="A614" t="s">
        <v>761</v>
      </c>
      <c r="B614" t="s">
        <v>617</v>
      </c>
    </row>
    <row r="615" spans="1:2" x14ac:dyDescent="0.25">
      <c r="A615" t="s">
        <v>762</v>
      </c>
      <c r="B615" t="s">
        <v>617</v>
      </c>
    </row>
    <row r="616" spans="1:2" x14ac:dyDescent="0.25">
      <c r="A616" t="s">
        <v>763</v>
      </c>
      <c r="B616" t="s">
        <v>617</v>
      </c>
    </row>
    <row r="617" spans="1:2" x14ac:dyDescent="0.25">
      <c r="A617" t="s">
        <v>764</v>
      </c>
      <c r="B617" t="s">
        <v>617</v>
      </c>
    </row>
    <row r="618" spans="1:2" x14ac:dyDescent="0.25">
      <c r="A618" t="s">
        <v>765</v>
      </c>
      <c r="B618" t="s">
        <v>617</v>
      </c>
    </row>
    <row r="619" spans="1:2" x14ac:dyDescent="0.25">
      <c r="A619" t="s">
        <v>70</v>
      </c>
      <c r="B619" t="s">
        <v>617</v>
      </c>
    </row>
    <row r="620" spans="1:2" x14ac:dyDescent="0.25">
      <c r="A620" t="s">
        <v>178</v>
      </c>
      <c r="B620" t="s">
        <v>621</v>
      </c>
    </row>
    <row r="621" spans="1:2" x14ac:dyDescent="0.25">
      <c r="A621" t="s">
        <v>766</v>
      </c>
      <c r="B621" t="s">
        <v>617</v>
      </c>
    </row>
    <row r="622" spans="1:2" x14ac:dyDescent="0.25">
      <c r="A622" t="s">
        <v>767</v>
      </c>
      <c r="B622" t="s">
        <v>617</v>
      </c>
    </row>
    <row r="623" spans="1:2" x14ac:dyDescent="0.25">
      <c r="A623" t="s">
        <v>326</v>
      </c>
      <c r="B623" t="s">
        <v>613</v>
      </c>
    </row>
    <row r="624" spans="1:2" x14ac:dyDescent="0.25">
      <c r="A624" t="s">
        <v>327</v>
      </c>
      <c r="B624" t="s">
        <v>613</v>
      </c>
    </row>
    <row r="625" spans="1:2" x14ac:dyDescent="0.25">
      <c r="A625" t="s">
        <v>325</v>
      </c>
      <c r="B625" t="s">
        <v>621</v>
      </c>
    </row>
    <row r="626" spans="1:2" x14ac:dyDescent="0.25">
      <c r="A626" t="s">
        <v>119</v>
      </c>
      <c r="B626" t="s">
        <v>621</v>
      </c>
    </row>
    <row r="627" spans="1:2" x14ac:dyDescent="0.25">
      <c r="A627" t="s">
        <v>280</v>
      </c>
      <c r="B627" t="s">
        <v>617</v>
      </c>
    </row>
    <row r="628" spans="1:2" x14ac:dyDescent="0.25">
      <c r="A628" t="s">
        <v>768</v>
      </c>
      <c r="B628" t="s">
        <v>613</v>
      </c>
    </row>
    <row r="629" spans="1:2" x14ac:dyDescent="0.25">
      <c r="A629" t="s">
        <v>64</v>
      </c>
      <c r="B629" t="s">
        <v>613</v>
      </c>
    </row>
    <row r="630" spans="1:2" x14ac:dyDescent="0.25">
      <c r="A630" t="s">
        <v>769</v>
      </c>
      <c r="B630" t="s">
        <v>617</v>
      </c>
    </row>
    <row r="631" spans="1:2" x14ac:dyDescent="0.25">
      <c r="A631" t="s">
        <v>173</v>
      </c>
      <c r="B631" t="s">
        <v>619</v>
      </c>
    </row>
    <row r="632" spans="1:2" x14ac:dyDescent="0.25">
      <c r="A632" t="s">
        <v>770</v>
      </c>
      <c r="B632" t="s">
        <v>613</v>
      </c>
    </row>
    <row r="633" spans="1:2" x14ac:dyDescent="0.25">
      <c r="A633" t="s">
        <v>771</v>
      </c>
      <c r="B633" t="s">
        <v>617</v>
      </c>
    </row>
    <row r="634" spans="1:2" x14ac:dyDescent="0.25">
      <c r="A634" t="s">
        <v>772</v>
      </c>
      <c r="B634" t="s">
        <v>621</v>
      </c>
    </row>
    <row r="635" spans="1:2" x14ac:dyDescent="0.25">
      <c r="A635" t="s">
        <v>773</v>
      </c>
      <c r="B635" t="s">
        <v>621</v>
      </c>
    </row>
    <row r="636" spans="1:2" x14ac:dyDescent="0.25">
      <c r="A636" t="s">
        <v>472</v>
      </c>
      <c r="B636" t="s">
        <v>621</v>
      </c>
    </row>
    <row r="637" spans="1:2" x14ac:dyDescent="0.25">
      <c r="A637" t="s">
        <v>84</v>
      </c>
      <c r="B637" t="s">
        <v>619</v>
      </c>
    </row>
    <row r="638" spans="1:2" x14ac:dyDescent="0.25">
      <c r="A638" t="s">
        <v>462</v>
      </c>
      <c r="B638" t="s">
        <v>613</v>
      </c>
    </row>
    <row r="639" spans="1:2" x14ac:dyDescent="0.25">
      <c r="A639" t="s">
        <v>471</v>
      </c>
      <c r="B639" t="s">
        <v>617</v>
      </c>
    </row>
    <row r="640" spans="1:2" x14ac:dyDescent="0.25">
      <c r="A640" t="s">
        <v>470</v>
      </c>
      <c r="B640" t="s">
        <v>621</v>
      </c>
    </row>
    <row r="641" spans="1:2" x14ac:dyDescent="0.25">
      <c r="A641" t="s">
        <v>774</v>
      </c>
      <c r="B641" t="s">
        <v>619</v>
      </c>
    </row>
    <row r="642" spans="1:2" x14ac:dyDescent="0.25">
      <c r="A642" t="s">
        <v>775</v>
      </c>
      <c r="B642" t="s">
        <v>619</v>
      </c>
    </row>
    <row r="643" spans="1:2" x14ac:dyDescent="0.25">
      <c r="A643" t="s">
        <v>776</v>
      </c>
      <c r="B643" t="s">
        <v>619</v>
      </c>
    </row>
    <row r="644" spans="1:2" x14ac:dyDescent="0.25">
      <c r="A644" t="s">
        <v>777</v>
      </c>
      <c r="B644" t="s">
        <v>619</v>
      </c>
    </row>
    <row r="645" spans="1:2" x14ac:dyDescent="0.25">
      <c r="A645" t="s">
        <v>778</v>
      </c>
      <c r="B645" t="s">
        <v>619</v>
      </c>
    </row>
    <row r="646" spans="1:2" x14ac:dyDescent="0.25">
      <c r="A646" t="s">
        <v>779</v>
      </c>
      <c r="B646" t="s">
        <v>619</v>
      </c>
    </row>
    <row r="647" spans="1:2" x14ac:dyDescent="0.25">
      <c r="A647" t="s">
        <v>780</v>
      </c>
      <c r="B647" t="s">
        <v>619</v>
      </c>
    </row>
    <row r="648" spans="1:2" x14ac:dyDescent="0.25">
      <c r="A648" t="s">
        <v>315</v>
      </c>
      <c r="B648" t="s">
        <v>619</v>
      </c>
    </row>
    <row r="649" spans="1:2" x14ac:dyDescent="0.25">
      <c r="A649" t="s">
        <v>311</v>
      </c>
      <c r="B649" t="s">
        <v>619</v>
      </c>
    </row>
    <row r="650" spans="1:2" x14ac:dyDescent="0.25">
      <c r="A650" t="s">
        <v>314</v>
      </c>
      <c r="B650" t="s">
        <v>613</v>
      </c>
    </row>
    <row r="651" spans="1:2" x14ac:dyDescent="0.25">
      <c r="A651" t="s">
        <v>313</v>
      </c>
      <c r="B651" t="s">
        <v>619</v>
      </c>
    </row>
    <row r="652" spans="1:2" x14ac:dyDescent="0.25">
      <c r="A652" t="s">
        <v>460</v>
      </c>
      <c r="B652" t="s">
        <v>621</v>
      </c>
    </row>
    <row r="653" spans="1:2" x14ac:dyDescent="0.25">
      <c r="A653" t="s">
        <v>428</v>
      </c>
      <c r="B653" t="s">
        <v>621</v>
      </c>
    </row>
    <row r="654" spans="1:2" x14ac:dyDescent="0.25">
      <c r="A654" t="s">
        <v>318</v>
      </c>
      <c r="B654" t="s">
        <v>613</v>
      </c>
    </row>
    <row r="655" spans="1:2" x14ac:dyDescent="0.25">
      <c r="A655" t="s">
        <v>317</v>
      </c>
      <c r="B655" t="s">
        <v>619</v>
      </c>
    </row>
    <row r="656" spans="1:2" x14ac:dyDescent="0.25">
      <c r="A656" t="s">
        <v>781</v>
      </c>
      <c r="B656" t="s">
        <v>619</v>
      </c>
    </row>
    <row r="657" spans="1:2" x14ac:dyDescent="0.25">
      <c r="A657" t="s">
        <v>782</v>
      </c>
      <c r="B657" t="s">
        <v>621</v>
      </c>
    </row>
    <row r="658" spans="1:2" x14ac:dyDescent="0.25">
      <c r="A658" t="s">
        <v>118</v>
      </c>
      <c r="B658" t="s">
        <v>617</v>
      </c>
    </row>
    <row r="659" spans="1:2" x14ac:dyDescent="0.25">
      <c r="A659" t="s">
        <v>176</v>
      </c>
      <c r="B659" t="s">
        <v>613</v>
      </c>
    </row>
    <row r="660" spans="1:2" x14ac:dyDescent="0.25">
      <c r="A660" t="s">
        <v>544</v>
      </c>
      <c r="B660" t="s">
        <v>613</v>
      </c>
    </row>
    <row r="661" spans="1:2" x14ac:dyDescent="0.25">
      <c r="A661" t="s">
        <v>543</v>
      </c>
      <c r="B661" t="s">
        <v>613</v>
      </c>
    </row>
    <row r="662" spans="1:2" x14ac:dyDescent="0.25">
      <c r="A662" t="s">
        <v>538</v>
      </c>
      <c r="B662" t="s">
        <v>613</v>
      </c>
    </row>
    <row r="663" spans="1:2" x14ac:dyDescent="0.25">
      <c r="A663" t="s">
        <v>537</v>
      </c>
      <c r="B663" t="s">
        <v>613</v>
      </c>
    </row>
    <row r="664" spans="1:2" x14ac:dyDescent="0.25">
      <c r="A664" t="s">
        <v>535</v>
      </c>
      <c r="B664" t="s">
        <v>613</v>
      </c>
    </row>
    <row r="665" spans="1:2" x14ac:dyDescent="0.25">
      <c r="A665" t="s">
        <v>534</v>
      </c>
      <c r="B665" t="s">
        <v>613</v>
      </c>
    </row>
    <row r="666" spans="1:2" x14ac:dyDescent="0.25">
      <c r="A666" t="s">
        <v>541</v>
      </c>
      <c r="B666" t="s">
        <v>613</v>
      </c>
    </row>
    <row r="667" spans="1:2" x14ac:dyDescent="0.25">
      <c r="A667" t="s">
        <v>540</v>
      </c>
      <c r="B667" t="s">
        <v>613</v>
      </c>
    </row>
    <row r="668" spans="1:2" x14ac:dyDescent="0.25">
      <c r="A668" t="s">
        <v>451</v>
      </c>
      <c r="B668" t="s">
        <v>613</v>
      </c>
    </row>
    <row r="669" spans="1:2" x14ac:dyDescent="0.25">
      <c r="A669" t="s">
        <v>783</v>
      </c>
      <c r="B669" t="s">
        <v>621</v>
      </c>
    </row>
    <row r="670" spans="1:2" x14ac:dyDescent="0.25">
      <c r="A670" t="s">
        <v>175</v>
      </c>
      <c r="B670" t="s">
        <v>619</v>
      </c>
    </row>
    <row r="671" spans="1:2" x14ac:dyDescent="0.25">
      <c r="A671" t="s">
        <v>177</v>
      </c>
      <c r="B671" t="s">
        <v>619</v>
      </c>
    </row>
    <row r="672" spans="1:2" x14ac:dyDescent="0.25">
      <c r="A672" t="s">
        <v>323</v>
      </c>
      <c r="B672" t="s">
        <v>621</v>
      </c>
    </row>
    <row r="673" spans="1:2" x14ac:dyDescent="0.25">
      <c r="A673" t="s">
        <v>784</v>
      </c>
      <c r="B673" t="s">
        <v>621</v>
      </c>
    </row>
    <row r="674" spans="1:2" x14ac:dyDescent="0.25">
      <c r="A674" t="s">
        <v>785</v>
      </c>
      <c r="B674" t="s">
        <v>613</v>
      </c>
    </row>
    <row r="675" spans="1:2" x14ac:dyDescent="0.25">
      <c r="A675" t="s">
        <v>786</v>
      </c>
      <c r="B675" t="s">
        <v>619</v>
      </c>
    </row>
    <row r="676" spans="1:2" x14ac:dyDescent="0.25">
      <c r="A676" t="s">
        <v>787</v>
      </c>
      <c r="B676" t="s">
        <v>619</v>
      </c>
    </row>
    <row r="677" spans="1:2" x14ac:dyDescent="0.25">
      <c r="A677" t="s">
        <v>587</v>
      </c>
      <c r="B677" t="s">
        <v>613</v>
      </c>
    </row>
    <row r="678" spans="1:2" x14ac:dyDescent="0.25">
      <c r="A678" t="s">
        <v>434</v>
      </c>
      <c r="B678" t="s">
        <v>613</v>
      </c>
    </row>
    <row r="679" spans="1:2" x14ac:dyDescent="0.25">
      <c r="A679" t="s">
        <v>431</v>
      </c>
      <c r="B679" t="s">
        <v>613</v>
      </c>
    </row>
    <row r="680" spans="1:2" x14ac:dyDescent="0.25">
      <c r="A680" t="s">
        <v>427</v>
      </c>
      <c r="B680" t="s">
        <v>621</v>
      </c>
    </row>
    <row r="681" spans="1:2" x14ac:dyDescent="0.25">
      <c r="A681" t="s">
        <v>395</v>
      </c>
      <c r="B681" t="s">
        <v>619</v>
      </c>
    </row>
    <row r="682" spans="1:2" x14ac:dyDescent="0.25">
      <c r="A682" t="s">
        <v>450</v>
      </c>
      <c r="B682" t="s">
        <v>619</v>
      </c>
    </row>
    <row r="683" spans="1:2" x14ac:dyDescent="0.25">
      <c r="A683" t="s">
        <v>788</v>
      </c>
      <c r="B683" t="s">
        <v>621</v>
      </c>
    </row>
    <row r="684" spans="1:2" x14ac:dyDescent="0.25">
      <c r="A684" t="s">
        <v>789</v>
      </c>
      <c r="B684" t="s">
        <v>621</v>
      </c>
    </row>
    <row r="685" spans="1:2" x14ac:dyDescent="0.25">
      <c r="A685" t="s">
        <v>790</v>
      </c>
      <c r="B685" t="s">
        <v>613</v>
      </c>
    </row>
    <row r="686" spans="1:2" x14ac:dyDescent="0.25">
      <c r="A686" t="s">
        <v>791</v>
      </c>
      <c r="B686" t="s">
        <v>613</v>
      </c>
    </row>
    <row r="687" spans="1:2" x14ac:dyDescent="0.25">
      <c r="A687" t="s">
        <v>792</v>
      </c>
      <c r="B687" t="s">
        <v>613</v>
      </c>
    </row>
    <row r="688" spans="1:2" x14ac:dyDescent="0.25">
      <c r="A688" t="s">
        <v>793</v>
      </c>
      <c r="B688" t="s">
        <v>617</v>
      </c>
    </row>
    <row r="689" spans="1:2" x14ac:dyDescent="0.25">
      <c r="A689" t="s">
        <v>794</v>
      </c>
      <c r="B689" t="s">
        <v>617</v>
      </c>
    </row>
    <row r="690" spans="1:2" x14ac:dyDescent="0.25">
      <c r="A690" t="s">
        <v>277</v>
      </c>
      <c r="B690" t="s">
        <v>621</v>
      </c>
    </row>
    <row r="691" spans="1:2" x14ac:dyDescent="0.25">
      <c r="A691" t="s">
        <v>279</v>
      </c>
      <c r="B691" t="s">
        <v>621</v>
      </c>
    </row>
    <row r="692" spans="1:2" x14ac:dyDescent="0.25">
      <c r="A692" t="s">
        <v>117</v>
      </c>
      <c r="B692" t="s">
        <v>621</v>
      </c>
    </row>
    <row r="693" spans="1:2" x14ac:dyDescent="0.25">
      <c r="A693" t="s">
        <v>475</v>
      </c>
      <c r="B693" t="s">
        <v>617</v>
      </c>
    </row>
    <row r="694" spans="1:2" x14ac:dyDescent="0.25">
      <c r="A694" t="s">
        <v>795</v>
      </c>
      <c r="B694" t="s">
        <v>613</v>
      </c>
    </row>
    <row r="695" spans="1:2" x14ac:dyDescent="0.25">
      <c r="A695" t="s">
        <v>796</v>
      </c>
      <c r="B695" t="s">
        <v>613</v>
      </c>
    </row>
    <row r="696" spans="1:2" x14ac:dyDescent="0.25">
      <c r="A696" t="s">
        <v>797</v>
      </c>
      <c r="B696" t="s">
        <v>613</v>
      </c>
    </row>
    <row r="697" spans="1:2" x14ac:dyDescent="0.25">
      <c r="A697" t="s">
        <v>798</v>
      </c>
      <c r="B697" t="s">
        <v>613</v>
      </c>
    </row>
    <row r="698" spans="1:2" x14ac:dyDescent="0.25">
      <c r="A698" t="s">
        <v>473</v>
      </c>
      <c r="B698" t="s">
        <v>621</v>
      </c>
    </row>
    <row r="699" spans="1:2" x14ac:dyDescent="0.25">
      <c r="A699" t="s">
        <v>83</v>
      </c>
      <c r="B699" t="s">
        <v>619</v>
      </c>
    </row>
    <row r="700" spans="1:2" x14ac:dyDescent="0.25">
      <c r="A700" t="s">
        <v>533</v>
      </c>
      <c r="B700" t="s">
        <v>621</v>
      </c>
    </row>
    <row r="701" spans="1:2" x14ac:dyDescent="0.25">
      <c r="A701" t="s">
        <v>536</v>
      </c>
      <c r="B701" t="s">
        <v>621</v>
      </c>
    </row>
    <row r="702" spans="1:2" x14ac:dyDescent="0.25">
      <c r="A702" t="s">
        <v>539</v>
      </c>
      <c r="B702" t="s">
        <v>621</v>
      </c>
    </row>
    <row r="703" spans="1:2" x14ac:dyDescent="0.25">
      <c r="A703" t="s">
        <v>542</v>
      </c>
      <c r="B703" t="s">
        <v>621</v>
      </c>
    </row>
    <row r="704" spans="1:2" x14ac:dyDescent="0.25">
      <c r="A704" t="s">
        <v>549</v>
      </c>
      <c r="B704" t="s">
        <v>621</v>
      </c>
    </row>
    <row r="705" spans="1:2" x14ac:dyDescent="0.25">
      <c r="A705" t="s">
        <v>415</v>
      </c>
      <c r="B705" t="s">
        <v>613</v>
      </c>
    </row>
    <row r="706" spans="1:2" x14ac:dyDescent="0.25">
      <c r="A706" t="s">
        <v>799</v>
      </c>
      <c r="B706" t="s">
        <v>613</v>
      </c>
    </row>
    <row r="707" spans="1:2" x14ac:dyDescent="0.25">
      <c r="A707" t="s">
        <v>800</v>
      </c>
      <c r="B707" t="s">
        <v>613</v>
      </c>
    </row>
    <row r="708" spans="1:2" x14ac:dyDescent="0.25">
      <c r="A708" t="s">
        <v>545</v>
      </c>
      <c r="B708" t="s">
        <v>621</v>
      </c>
    </row>
    <row r="709" spans="1:2" x14ac:dyDescent="0.25">
      <c r="A709" t="s">
        <v>546</v>
      </c>
      <c r="B709" t="s">
        <v>621</v>
      </c>
    </row>
    <row r="710" spans="1:2" x14ac:dyDescent="0.25">
      <c r="A710" t="s">
        <v>547</v>
      </c>
      <c r="B710" t="s">
        <v>621</v>
      </c>
    </row>
    <row r="711" spans="1:2" x14ac:dyDescent="0.25">
      <c r="A711" t="s">
        <v>548</v>
      </c>
      <c r="B711" t="s">
        <v>621</v>
      </c>
    </row>
    <row r="712" spans="1:2" x14ac:dyDescent="0.25">
      <c r="A712" t="s">
        <v>474</v>
      </c>
      <c r="B712" t="s">
        <v>613</v>
      </c>
    </row>
    <row r="713" spans="1:2" x14ac:dyDescent="0.25">
      <c r="A713" t="s">
        <v>403</v>
      </c>
      <c r="B713" t="s">
        <v>621</v>
      </c>
    </row>
    <row r="714" spans="1:2" x14ac:dyDescent="0.25">
      <c r="A714" t="s">
        <v>551</v>
      </c>
      <c r="B714" t="s">
        <v>613</v>
      </c>
    </row>
    <row r="715" spans="1:2" x14ac:dyDescent="0.25">
      <c r="A715" t="s">
        <v>550</v>
      </c>
      <c r="B715" t="s">
        <v>621</v>
      </c>
    </row>
    <row r="716" spans="1:2" x14ac:dyDescent="0.25">
      <c r="A716" t="s">
        <v>801</v>
      </c>
      <c r="B716" t="s">
        <v>619</v>
      </c>
    </row>
    <row r="717" spans="1:2" x14ac:dyDescent="0.25">
      <c r="A717" t="s">
        <v>529</v>
      </c>
      <c r="B717" t="s">
        <v>619</v>
      </c>
    </row>
    <row r="718" spans="1:2" x14ac:dyDescent="0.25">
      <c r="A718" t="s">
        <v>531</v>
      </c>
      <c r="B718" t="s">
        <v>619</v>
      </c>
    </row>
    <row r="719" spans="1:2" x14ac:dyDescent="0.25">
      <c r="A719" t="s">
        <v>802</v>
      </c>
      <c r="B719" t="s">
        <v>613</v>
      </c>
    </row>
    <row r="720" spans="1:2" x14ac:dyDescent="0.25">
      <c r="A720" t="s">
        <v>530</v>
      </c>
      <c r="B720" t="s">
        <v>613</v>
      </c>
    </row>
    <row r="721" spans="1:2" x14ac:dyDescent="0.25">
      <c r="A721" t="s">
        <v>532</v>
      </c>
      <c r="B721" t="s">
        <v>613</v>
      </c>
    </row>
    <row r="722" spans="1:2" x14ac:dyDescent="0.25">
      <c r="A722" t="s">
        <v>803</v>
      </c>
      <c r="B722" t="s">
        <v>613</v>
      </c>
    </row>
    <row r="723" spans="1:2" x14ac:dyDescent="0.25">
      <c r="A723" t="s">
        <v>804</v>
      </c>
      <c r="B723" t="s">
        <v>613</v>
      </c>
    </row>
    <row r="724" spans="1:2" x14ac:dyDescent="0.25">
      <c r="A724" t="s">
        <v>805</v>
      </c>
      <c r="B724" t="s">
        <v>613</v>
      </c>
    </row>
    <row r="725" spans="1:2" x14ac:dyDescent="0.25">
      <c r="A725" t="s">
        <v>806</v>
      </c>
      <c r="B725" t="s">
        <v>613</v>
      </c>
    </row>
    <row r="726" spans="1:2" x14ac:dyDescent="0.25">
      <c r="A726" t="s">
        <v>528</v>
      </c>
      <c r="B726" t="s">
        <v>619</v>
      </c>
    </row>
    <row r="727" spans="1:2" x14ac:dyDescent="0.25">
      <c r="A727" t="s">
        <v>807</v>
      </c>
      <c r="B727" t="s">
        <v>617</v>
      </c>
    </row>
    <row r="728" spans="1:2" x14ac:dyDescent="0.25">
      <c r="A728" t="s">
        <v>603</v>
      </c>
      <c r="B728" t="s">
        <v>613</v>
      </c>
    </row>
    <row r="729" spans="1:2" x14ac:dyDescent="0.25">
      <c r="A729" t="s">
        <v>602</v>
      </c>
      <c r="B729" t="s">
        <v>619</v>
      </c>
    </row>
    <row r="730" spans="1:2" x14ac:dyDescent="0.25">
      <c r="A730" t="s">
        <v>604</v>
      </c>
      <c r="B730" t="s">
        <v>621</v>
      </c>
    </row>
    <row r="731" spans="1:2" x14ac:dyDescent="0.25">
      <c r="A731" t="s">
        <v>808</v>
      </c>
      <c r="B731" t="s">
        <v>619</v>
      </c>
    </row>
    <row r="732" spans="1:2" x14ac:dyDescent="0.25">
      <c r="A732" t="s">
        <v>809</v>
      </c>
      <c r="B732" t="s">
        <v>619</v>
      </c>
    </row>
    <row r="733" spans="1:2" x14ac:dyDescent="0.25">
      <c r="A733" t="s">
        <v>599</v>
      </c>
      <c r="B733" t="s">
        <v>621</v>
      </c>
    </row>
    <row r="734" spans="1:2" x14ac:dyDescent="0.25">
      <c r="A734" t="s">
        <v>810</v>
      </c>
      <c r="B734" t="s">
        <v>613</v>
      </c>
    </row>
    <row r="735" spans="1:2" x14ac:dyDescent="0.25">
      <c r="A735" t="s">
        <v>811</v>
      </c>
      <c r="B735" t="s">
        <v>613</v>
      </c>
    </row>
    <row r="736" spans="1:2" x14ac:dyDescent="0.25">
      <c r="A736" t="s">
        <v>601</v>
      </c>
      <c r="B736" t="s">
        <v>619</v>
      </c>
    </row>
    <row r="737" spans="1:2" x14ac:dyDescent="0.25">
      <c r="A737" t="s">
        <v>812</v>
      </c>
      <c r="B737" t="s">
        <v>619</v>
      </c>
    </row>
    <row r="738" spans="1:2" x14ac:dyDescent="0.25">
      <c r="A738" t="s">
        <v>813</v>
      </c>
      <c r="B738" t="s">
        <v>619</v>
      </c>
    </row>
    <row r="739" spans="1:2" x14ac:dyDescent="0.25">
      <c r="A739" t="s">
        <v>814</v>
      </c>
      <c r="B739" t="s">
        <v>619</v>
      </c>
    </row>
    <row r="740" spans="1:2" x14ac:dyDescent="0.25">
      <c r="A740" t="s">
        <v>815</v>
      </c>
      <c r="B740" t="s">
        <v>619</v>
      </c>
    </row>
    <row r="741" spans="1:2" x14ac:dyDescent="0.25">
      <c r="A741" t="s">
        <v>816</v>
      </c>
      <c r="B741" t="s">
        <v>613</v>
      </c>
    </row>
    <row r="742" spans="1:2" x14ac:dyDescent="0.25">
      <c r="A742" t="s">
        <v>848</v>
      </c>
      <c r="B742" t="s">
        <v>621</v>
      </c>
    </row>
    <row r="743" spans="1:2" x14ac:dyDescent="0.25">
      <c r="A743" t="s">
        <v>847</v>
      </c>
      <c r="B743" t="s">
        <v>613</v>
      </c>
    </row>
    <row r="744" spans="1:2" x14ac:dyDescent="0.25">
      <c r="A744" t="s">
        <v>846</v>
      </c>
      <c r="B744" t="s">
        <v>619</v>
      </c>
    </row>
    <row r="745" spans="1:2" x14ac:dyDescent="0.25">
      <c r="A745" t="s">
        <v>849</v>
      </c>
      <c r="B745" t="s">
        <v>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837</v>
      </c>
    </row>
    <row r="2" spans="1:4" x14ac:dyDescent="0.25">
      <c r="A2" t="s">
        <v>883</v>
      </c>
      <c r="D2" t="str">
        <f t="array" aca="1" ref="D2" ca="1">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884</v>
      </c>
    </row>
    <row r="4" spans="1:4" x14ac:dyDescent="0.25">
      <c r="A4" t="s">
        <v>971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842</v>
      </c>
      <c r="B1" s="1"/>
      <c r="C1" s="1"/>
    </row>
    <row r="2" spans="1:4" x14ac:dyDescent="0.25">
      <c r="A2" t="s">
        <v>843</v>
      </c>
      <c r="B2" t="str">
        <f>EMPRESA</f>
        <v>AGROTA</v>
      </c>
    </row>
    <row r="3" spans="1:4" x14ac:dyDescent="0.25">
      <c r="A3" t="s">
        <v>844</v>
      </c>
      <c r="B3" s="12">
        <f ca="1">TODAY()</f>
        <v>42331</v>
      </c>
    </row>
    <row r="5" spans="1:4" x14ac:dyDescent="0.25">
      <c r="A5" s="2" t="s">
        <v>840</v>
      </c>
      <c r="B5" s="14" t="s">
        <v>841</v>
      </c>
      <c r="C5" s="2" t="s">
        <v>29</v>
      </c>
      <c r="D5" s="2" t="s">
        <v>851</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27</v>
      </c>
      <c r="B1" s="15" t="s">
        <v>852</v>
      </c>
    </row>
    <row r="2" spans="1:2" x14ac:dyDescent="0.25">
      <c r="A2" s="16" t="str">
        <f>"=**"</f>
        <v>=**</v>
      </c>
      <c r="B2" s="15"/>
    </row>
    <row r="3" spans="1:2" x14ac:dyDescent="0.25">
      <c r="A3" s="15"/>
      <c r="B3" s="16" t="str">
        <f>"=**"</f>
        <v>=**</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1020</v>
      </c>
      <c r="B1" t="s">
        <v>923</v>
      </c>
      <c r="C1" t="s">
        <v>924</v>
      </c>
      <c r="D1" t="s">
        <v>925</v>
      </c>
      <c r="E1" t="s">
        <v>926</v>
      </c>
      <c r="F1" t="s">
        <v>927</v>
      </c>
      <c r="G1" t="s">
        <v>928</v>
      </c>
      <c r="H1" t="s">
        <v>929</v>
      </c>
      <c r="I1" t="s">
        <v>930</v>
      </c>
      <c r="J1" t="s">
        <v>931</v>
      </c>
      <c r="K1" t="s">
        <v>932</v>
      </c>
      <c r="L1" t="s">
        <v>933</v>
      </c>
      <c r="M1" t="s">
        <v>934</v>
      </c>
      <c r="N1" t="s">
        <v>935</v>
      </c>
      <c r="O1" t="s">
        <v>936</v>
      </c>
      <c r="P1" t="s">
        <v>937</v>
      </c>
      <c r="Q1" t="s">
        <v>938</v>
      </c>
      <c r="R1" t="s">
        <v>939</v>
      </c>
      <c r="S1" t="s">
        <v>940</v>
      </c>
      <c r="T1" t="s">
        <v>941</v>
      </c>
      <c r="U1" t="s">
        <v>942</v>
      </c>
      <c r="V1" t="s">
        <v>943</v>
      </c>
      <c r="W1" t="s">
        <v>944</v>
      </c>
      <c r="X1" t="s">
        <v>945</v>
      </c>
      <c r="Y1" t="s">
        <v>946</v>
      </c>
      <c r="Z1" t="s">
        <v>947</v>
      </c>
      <c r="AA1" t="s">
        <v>948</v>
      </c>
      <c r="AB1" t="s">
        <v>949</v>
      </c>
      <c r="AC1" t="s">
        <v>950</v>
      </c>
      <c r="AD1" t="s">
        <v>951</v>
      </c>
      <c r="AE1" t="s">
        <v>952</v>
      </c>
      <c r="AF1" t="s">
        <v>953</v>
      </c>
      <c r="AG1" t="s">
        <v>954</v>
      </c>
      <c r="AH1" t="s">
        <v>955</v>
      </c>
      <c r="AI1" t="s">
        <v>956</v>
      </c>
      <c r="AJ1" t="s">
        <v>957</v>
      </c>
      <c r="AK1" t="s">
        <v>958</v>
      </c>
      <c r="AL1" t="s">
        <v>959</v>
      </c>
      <c r="AM1" t="s">
        <v>960</v>
      </c>
      <c r="AN1" t="s">
        <v>961</v>
      </c>
      <c r="AO1" t="s">
        <v>962</v>
      </c>
      <c r="AP1" t="s">
        <v>963</v>
      </c>
      <c r="AQ1" t="s">
        <v>964</v>
      </c>
      <c r="AR1" t="s">
        <v>970</v>
      </c>
      <c r="AS1" t="s">
        <v>984</v>
      </c>
      <c r="AT1" t="s">
        <v>985</v>
      </c>
      <c r="AU1" t="s">
        <v>986</v>
      </c>
      <c r="AV1" t="s">
        <v>987</v>
      </c>
      <c r="AW1" t="s">
        <v>988</v>
      </c>
      <c r="AX1" t="s">
        <v>989</v>
      </c>
      <c r="AY1" t="s">
        <v>990</v>
      </c>
      <c r="AZ1" t="s">
        <v>991</v>
      </c>
      <c r="BA1" t="s">
        <v>992</v>
      </c>
      <c r="BB1" t="s">
        <v>993</v>
      </c>
      <c r="BC1" t="s">
        <v>994</v>
      </c>
      <c r="BD1" t="s">
        <v>995</v>
      </c>
      <c r="BE1" t="s">
        <v>996</v>
      </c>
      <c r="BF1" t="s">
        <v>997</v>
      </c>
      <c r="BG1" t="s">
        <v>998</v>
      </c>
      <c r="BH1" t="s">
        <v>999</v>
      </c>
      <c r="BI1" t="s">
        <v>1000</v>
      </c>
      <c r="BJ1" t="s">
        <v>1001</v>
      </c>
      <c r="BK1" t="s">
        <v>1002</v>
      </c>
      <c r="BL1" t="s">
        <v>1003</v>
      </c>
      <c r="BM1" t="s">
        <v>1004</v>
      </c>
      <c r="BN1" t="s">
        <v>1005</v>
      </c>
      <c r="BO1" t="s">
        <v>1006</v>
      </c>
      <c r="BP1" t="s">
        <v>1007</v>
      </c>
      <c r="BQ1" t="s">
        <v>1008</v>
      </c>
      <c r="BR1" t="s">
        <v>1009</v>
      </c>
      <c r="BS1" t="s">
        <v>1010</v>
      </c>
      <c r="BT1" t="s">
        <v>1011</v>
      </c>
      <c r="BU1" t="s">
        <v>1012</v>
      </c>
      <c r="BV1" t="s">
        <v>1013</v>
      </c>
      <c r="BW1" t="s">
        <v>1014</v>
      </c>
      <c r="BX1" t="s">
        <v>1015</v>
      </c>
      <c r="BY1" t="s">
        <v>1016</v>
      </c>
      <c r="BZ1" t="s">
        <v>1017</v>
      </c>
      <c r="CA1" t="s">
        <v>1032</v>
      </c>
      <c r="CB1" t="s">
        <v>1033</v>
      </c>
      <c r="CC1" t="s">
        <v>1034</v>
      </c>
      <c r="CD1" t="s">
        <v>1152</v>
      </c>
      <c r="CE1" t="s">
        <v>1153</v>
      </c>
      <c r="CF1" t="s">
        <v>1154</v>
      </c>
      <c r="CG1" t="s">
        <v>896</v>
      </c>
      <c r="CH1" t="s">
        <v>973</v>
      </c>
      <c r="CI1" t="s">
        <v>975</v>
      </c>
      <c r="CJ1" t="s">
        <v>1021</v>
      </c>
      <c r="CK1" t="s">
        <v>897</v>
      </c>
      <c r="CL1" t="s">
        <v>898</v>
      </c>
      <c r="CM1" t="s">
        <v>899</v>
      </c>
      <c r="CN1" t="s">
        <v>900</v>
      </c>
      <c r="CO1" t="s">
        <v>901</v>
      </c>
      <c r="CP1" t="s">
        <v>902</v>
      </c>
      <c r="CQ1" t="s">
        <v>903</v>
      </c>
      <c r="CR1" t="s">
        <v>904</v>
      </c>
      <c r="CS1" t="s">
        <v>905</v>
      </c>
      <c r="CT1" t="s">
        <v>965</v>
      </c>
      <c r="CU1" t="s">
        <v>966</v>
      </c>
      <c r="CV1" t="s">
        <v>967</v>
      </c>
      <c r="CW1" t="s">
        <v>968</v>
      </c>
      <c r="CX1" t="s">
        <v>969</v>
      </c>
      <c r="CY1" t="s">
        <v>1018</v>
      </c>
      <c r="CZ1" t="s">
        <v>1019</v>
      </c>
      <c r="DA1" t="s">
        <v>1022</v>
      </c>
      <c r="DB1" t="s">
        <v>1024</v>
      </c>
      <c r="DC1" t="s">
        <v>1025</v>
      </c>
      <c r="DD1" t="s">
        <v>1026</v>
      </c>
      <c r="DE1" t="s">
        <v>1028</v>
      </c>
      <c r="DF1" t="s">
        <v>1029</v>
      </c>
    </row>
    <row r="2" spans="1:110" x14ac:dyDescent="0.25">
      <c r="AN2" s="47"/>
      <c r="AP2" s="47"/>
      <c r="BP2" s="47"/>
      <c r="BQ2" s="47"/>
      <c r="CA2" s="47"/>
      <c r="CB2" s="47"/>
      <c r="CC2" s="47"/>
      <c r="CD2" s="54"/>
      <c r="CE2" s="54"/>
      <c r="CF2" s="54"/>
      <c r="CH2" s="47"/>
      <c r="CI2" s="47"/>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78"/>
  <sheetViews>
    <sheetView topLeftCell="BW1" workbookViewId="0"/>
  </sheetViews>
  <sheetFormatPr baseColWidth="10" defaultRowHeight="15" x14ac:dyDescent="0.25"/>
  <sheetData>
    <row r="1" spans="1:110" x14ac:dyDescent="0.25">
      <c r="A1" t="s">
        <v>1164</v>
      </c>
      <c r="B1" t="s">
        <v>1165</v>
      </c>
      <c r="C1" t="s">
        <v>1166</v>
      </c>
      <c r="D1" t="s">
        <v>1167</v>
      </c>
      <c r="E1" t="s">
        <v>1168</v>
      </c>
      <c r="F1" t="s">
        <v>1169</v>
      </c>
      <c r="G1" t="s">
        <v>1170</v>
      </c>
      <c r="H1" t="s">
        <v>1171</v>
      </c>
      <c r="I1" t="s">
        <v>1172</v>
      </c>
      <c r="J1" t="s">
        <v>1173</v>
      </c>
      <c r="K1" t="s">
        <v>1174</v>
      </c>
      <c r="L1" t="s">
        <v>1175</v>
      </c>
      <c r="M1" t="s">
        <v>1176</v>
      </c>
      <c r="N1" t="s">
        <v>1177</v>
      </c>
      <c r="O1" t="s">
        <v>1178</v>
      </c>
      <c r="P1" t="s">
        <v>1179</v>
      </c>
      <c r="Q1" t="s">
        <v>1180</v>
      </c>
      <c r="R1" t="s">
        <v>1181</v>
      </c>
      <c r="S1" t="s">
        <v>1182</v>
      </c>
      <c r="T1" t="s">
        <v>1183</v>
      </c>
      <c r="U1" t="s">
        <v>1184</v>
      </c>
      <c r="V1" t="s">
        <v>1185</v>
      </c>
      <c r="W1" t="s">
        <v>1186</v>
      </c>
      <c r="X1" t="s">
        <v>1187</v>
      </c>
      <c r="Y1" t="s">
        <v>1188</v>
      </c>
      <c r="Z1" t="s">
        <v>1189</v>
      </c>
      <c r="AA1" t="s">
        <v>1190</v>
      </c>
      <c r="AB1" t="s">
        <v>1191</v>
      </c>
      <c r="AC1" t="s">
        <v>1192</v>
      </c>
      <c r="AD1" t="s">
        <v>1193</v>
      </c>
      <c r="AE1" t="s">
        <v>1194</v>
      </c>
      <c r="AF1" t="s">
        <v>1195</v>
      </c>
      <c r="AG1" t="s">
        <v>1196</v>
      </c>
      <c r="AH1" t="s">
        <v>1197</v>
      </c>
      <c r="AI1" t="s">
        <v>1198</v>
      </c>
      <c r="AJ1" t="s">
        <v>1199</v>
      </c>
      <c r="AK1" t="s">
        <v>1200</v>
      </c>
      <c r="AL1" t="s">
        <v>1201</v>
      </c>
      <c r="AM1" t="s">
        <v>1202</v>
      </c>
      <c r="AN1" t="s">
        <v>1203</v>
      </c>
      <c r="AO1" t="s">
        <v>1204</v>
      </c>
      <c r="AP1" t="s">
        <v>1262</v>
      </c>
      <c r="AQ1" t="s">
        <v>1205</v>
      </c>
      <c r="AR1" t="s">
        <v>1206</v>
      </c>
      <c r="AS1" t="s">
        <v>1263</v>
      </c>
      <c r="AT1" t="s">
        <v>1207</v>
      </c>
      <c r="AU1" t="s">
        <v>1208</v>
      </c>
      <c r="AV1" t="s">
        <v>1209</v>
      </c>
      <c r="AW1" t="s">
        <v>1210</v>
      </c>
      <c r="AX1" t="s">
        <v>1211</v>
      </c>
      <c r="AY1" t="s">
        <v>1212</v>
      </c>
      <c r="AZ1" t="s">
        <v>1213</v>
      </c>
      <c r="BA1" t="s">
        <v>1214</v>
      </c>
      <c r="BB1" t="s">
        <v>1215</v>
      </c>
      <c r="BC1" t="s">
        <v>1216</v>
      </c>
      <c r="BD1" t="s">
        <v>1217</v>
      </c>
      <c r="BE1" t="s">
        <v>1218</v>
      </c>
      <c r="BF1" t="s">
        <v>1219</v>
      </c>
      <c r="BG1" t="s">
        <v>1220</v>
      </c>
      <c r="BH1" t="s">
        <v>1221</v>
      </c>
      <c r="BI1" t="s">
        <v>1222</v>
      </c>
      <c r="BJ1" t="s">
        <v>1223</v>
      </c>
      <c r="BK1" t="s">
        <v>1224</v>
      </c>
      <c r="BL1" t="s">
        <v>1225</v>
      </c>
      <c r="BM1" t="s">
        <v>1226</v>
      </c>
      <c r="BN1" t="s">
        <v>1227</v>
      </c>
      <c r="BO1" t="s">
        <v>1228</v>
      </c>
      <c r="BP1" t="s">
        <v>1229</v>
      </c>
      <c r="BQ1" t="s">
        <v>1264</v>
      </c>
      <c r="BR1" t="s">
        <v>1230</v>
      </c>
      <c r="BS1" t="s">
        <v>1231</v>
      </c>
      <c r="BT1" t="s">
        <v>1232</v>
      </c>
      <c r="BU1" t="s">
        <v>1233</v>
      </c>
      <c r="BV1" t="s">
        <v>1234</v>
      </c>
      <c r="BW1" t="s">
        <v>1235</v>
      </c>
      <c r="BX1" t="s">
        <v>1236</v>
      </c>
      <c r="BY1" t="s">
        <v>1237</v>
      </c>
      <c r="BZ1" t="s">
        <v>1238</v>
      </c>
      <c r="CA1" t="s">
        <v>1239</v>
      </c>
      <c r="CB1" t="s">
        <v>1240</v>
      </c>
      <c r="CC1" t="s">
        <v>1241</v>
      </c>
      <c r="CD1" t="s">
        <v>1242</v>
      </c>
      <c r="CE1" t="s">
        <v>1243</v>
      </c>
      <c r="CF1" t="s">
        <v>1244</v>
      </c>
      <c r="CG1" t="s">
        <v>1245</v>
      </c>
      <c r="CH1" t="s">
        <v>1246</v>
      </c>
      <c r="CI1" t="s">
        <v>1247</v>
      </c>
      <c r="CJ1" t="s">
        <v>1248</v>
      </c>
      <c r="CK1" t="s">
        <v>1249</v>
      </c>
      <c r="CL1" t="s">
        <v>1250</v>
      </c>
      <c r="CM1" t="s">
        <v>1251</v>
      </c>
      <c r="CN1" t="s">
        <v>1252</v>
      </c>
      <c r="CO1" t="s">
        <v>1253</v>
      </c>
      <c r="CP1" t="s">
        <v>1254</v>
      </c>
      <c r="CQ1" t="s">
        <v>973</v>
      </c>
      <c r="CR1" t="s">
        <v>975</v>
      </c>
      <c r="CS1" t="s">
        <v>1255</v>
      </c>
      <c r="CT1" t="s">
        <v>1021</v>
      </c>
      <c r="CU1" t="s">
        <v>1022</v>
      </c>
      <c r="CV1" t="s">
        <v>1024</v>
      </c>
      <c r="CW1" t="s">
        <v>896</v>
      </c>
      <c r="CX1" t="s">
        <v>897</v>
      </c>
      <c r="CY1" t="s">
        <v>898</v>
      </c>
      <c r="CZ1" t="s">
        <v>899</v>
      </c>
      <c r="DA1" t="s">
        <v>900</v>
      </c>
      <c r="DB1" t="s">
        <v>901</v>
      </c>
      <c r="DC1" t="s">
        <v>902</v>
      </c>
      <c r="DD1" t="s">
        <v>903</v>
      </c>
      <c r="DE1" t="s">
        <v>904</v>
      </c>
      <c r="DF1" t="s">
        <v>905</v>
      </c>
    </row>
    <row r="2" spans="1:110" x14ac:dyDescent="0.25">
      <c r="A2" t="s">
        <v>1027</v>
      </c>
      <c r="B2">
        <v>7</v>
      </c>
      <c r="C2" s="54">
        <v>42331</v>
      </c>
      <c r="D2" t="s">
        <v>1301</v>
      </c>
      <c r="E2" t="s">
        <v>1302</v>
      </c>
      <c r="G2" t="s">
        <v>1303</v>
      </c>
      <c r="H2" t="s">
        <v>1256</v>
      </c>
      <c r="I2" t="s">
        <v>1256</v>
      </c>
      <c r="J2" t="s">
        <v>1256</v>
      </c>
      <c r="K2" t="s">
        <v>1256</v>
      </c>
      <c r="L2">
        <v>9082.75</v>
      </c>
      <c r="M2">
        <v>0</v>
      </c>
      <c r="N2">
        <v>0</v>
      </c>
      <c r="O2" s="54">
        <v>0</v>
      </c>
      <c r="P2" s="54">
        <v>0</v>
      </c>
      <c r="Q2">
        <v>6</v>
      </c>
      <c r="R2">
        <v>3</v>
      </c>
      <c r="S2">
        <v>16</v>
      </c>
      <c r="T2">
        <v>12</v>
      </c>
      <c r="U2">
        <v>4</v>
      </c>
      <c r="V2">
        <v>1</v>
      </c>
      <c r="W2" t="s">
        <v>1304</v>
      </c>
      <c r="X2" t="s">
        <v>1305</v>
      </c>
      <c r="Y2">
        <v>6</v>
      </c>
      <c r="AA2">
        <v>0</v>
      </c>
      <c r="AB2">
        <v>0</v>
      </c>
      <c r="AC2">
        <v>0</v>
      </c>
      <c r="AD2">
        <v>0</v>
      </c>
      <c r="AE2">
        <v>0</v>
      </c>
      <c r="AF2">
        <v>2</v>
      </c>
      <c r="AG2">
        <v>0</v>
      </c>
      <c r="AJ2" s="54"/>
      <c r="AK2" s="54"/>
      <c r="AL2" s="54"/>
      <c r="AP2" t="s">
        <v>1306</v>
      </c>
      <c r="AS2" t="s">
        <v>1266</v>
      </c>
      <c r="AT2">
        <v>1</v>
      </c>
      <c r="AV2">
        <v>4</v>
      </c>
      <c r="AW2">
        <v>3</v>
      </c>
      <c r="AX2">
        <v>1</v>
      </c>
      <c r="AY2" t="s">
        <v>1261</v>
      </c>
      <c r="AZ2" t="s">
        <v>1261</v>
      </c>
      <c r="BA2">
        <v>4</v>
      </c>
      <c r="BE2">
        <v>3.73</v>
      </c>
      <c r="BF2">
        <v>7.0000000000000007E-2</v>
      </c>
      <c r="BG2">
        <v>0</v>
      </c>
      <c r="BH2">
        <v>0</v>
      </c>
      <c r="BI2">
        <v>0</v>
      </c>
      <c r="BJ2">
        <v>0</v>
      </c>
      <c r="BK2">
        <v>0</v>
      </c>
      <c r="BL2">
        <v>0</v>
      </c>
      <c r="BM2">
        <v>3.73</v>
      </c>
      <c r="BN2">
        <v>7.0000000000000007E-2</v>
      </c>
      <c r="BO2">
        <v>0</v>
      </c>
      <c r="BP2">
        <v>0</v>
      </c>
      <c r="BR2">
        <v>0</v>
      </c>
      <c r="BS2">
        <v>1</v>
      </c>
      <c r="BX2">
        <v>0</v>
      </c>
      <c r="BY2">
        <v>0</v>
      </c>
      <c r="BZ2">
        <v>0</v>
      </c>
      <c r="CA2">
        <v>-3</v>
      </c>
      <c r="CB2">
        <v>0</v>
      </c>
      <c r="CC2">
        <v>1</v>
      </c>
      <c r="CD2" s="54">
        <v>42095</v>
      </c>
      <c r="CE2" s="54">
        <v>42219</v>
      </c>
      <c r="CF2" s="54">
        <v>42219</v>
      </c>
      <c r="CG2" s="54">
        <v>42331</v>
      </c>
      <c r="CH2" s="54"/>
      <c r="CI2" s="54"/>
      <c r="CJ2">
        <v>0.15</v>
      </c>
      <c r="CK2">
        <v>1</v>
      </c>
      <c r="CL2">
        <v>0.02</v>
      </c>
      <c r="CM2">
        <v>0</v>
      </c>
      <c r="CN2">
        <v>0</v>
      </c>
      <c r="CO2">
        <v>0.86</v>
      </c>
      <c r="CP2">
        <v>0</v>
      </c>
      <c r="CQ2" t="s">
        <v>1269</v>
      </c>
      <c r="CR2" t="s">
        <v>613</v>
      </c>
      <c r="CS2" t="s">
        <v>1307</v>
      </c>
      <c r="CT2" t="s">
        <v>1268</v>
      </c>
      <c r="CU2" t="s">
        <v>1308</v>
      </c>
      <c r="CV2" t="s">
        <v>1309</v>
      </c>
      <c r="CW2" t="s">
        <v>1310</v>
      </c>
      <c r="CX2" t="s">
        <v>1311</v>
      </c>
      <c r="DC2" t="s">
        <v>1312</v>
      </c>
      <c r="DE2" t="s">
        <v>1313</v>
      </c>
    </row>
    <row r="3" spans="1:110" x14ac:dyDescent="0.25">
      <c r="A3" t="s">
        <v>1027</v>
      </c>
      <c r="B3">
        <v>7</v>
      </c>
      <c r="C3" s="54">
        <v>42331</v>
      </c>
      <c r="D3" t="s">
        <v>1301</v>
      </c>
      <c r="E3" t="s">
        <v>1270</v>
      </c>
      <c r="G3" t="s">
        <v>1314</v>
      </c>
      <c r="H3" t="s">
        <v>1256</v>
      </c>
      <c r="I3" t="s">
        <v>1256</v>
      </c>
      <c r="J3" t="s">
        <v>1256</v>
      </c>
      <c r="K3" t="s">
        <v>1256</v>
      </c>
      <c r="L3">
        <v>4487.43</v>
      </c>
      <c r="M3">
        <v>0</v>
      </c>
      <c r="N3">
        <v>0</v>
      </c>
      <c r="O3" s="54">
        <v>0</v>
      </c>
      <c r="P3" s="54">
        <v>0</v>
      </c>
      <c r="Q3">
        <v>6</v>
      </c>
      <c r="R3">
        <v>3</v>
      </c>
      <c r="S3">
        <v>16</v>
      </c>
      <c r="T3">
        <v>12</v>
      </c>
      <c r="U3">
        <v>4</v>
      </c>
      <c r="V3">
        <v>1</v>
      </c>
      <c r="W3" t="s">
        <v>1257</v>
      </c>
      <c r="X3" t="s">
        <v>1315</v>
      </c>
      <c r="AA3">
        <v>0</v>
      </c>
      <c r="AB3">
        <v>0</v>
      </c>
      <c r="AC3">
        <v>0</v>
      </c>
      <c r="AD3">
        <v>0</v>
      </c>
      <c r="AE3">
        <v>0</v>
      </c>
      <c r="AF3">
        <v>2</v>
      </c>
      <c r="AG3">
        <v>0</v>
      </c>
      <c r="AJ3" s="54"/>
      <c r="AK3" s="54"/>
      <c r="AL3" s="54"/>
      <c r="AP3" t="s">
        <v>1306</v>
      </c>
      <c r="AS3" t="s">
        <v>1266</v>
      </c>
      <c r="AT3">
        <v>1</v>
      </c>
      <c r="AV3">
        <v>5</v>
      </c>
      <c r="AW3">
        <v>3</v>
      </c>
      <c r="AX3">
        <v>2</v>
      </c>
      <c r="AY3" t="s">
        <v>1261</v>
      </c>
      <c r="AZ3" t="s">
        <v>1261</v>
      </c>
      <c r="BA3">
        <v>7</v>
      </c>
      <c r="BE3">
        <v>3.67</v>
      </c>
      <c r="BF3">
        <v>0.27</v>
      </c>
      <c r="BG3">
        <v>0</v>
      </c>
      <c r="BH3">
        <v>0</v>
      </c>
      <c r="BI3">
        <v>0</v>
      </c>
      <c r="BJ3">
        <v>0</v>
      </c>
      <c r="BK3">
        <v>0</v>
      </c>
      <c r="BL3">
        <v>0</v>
      </c>
      <c r="BM3">
        <v>3.67</v>
      </c>
      <c r="BN3">
        <v>0.27</v>
      </c>
      <c r="BO3">
        <v>0</v>
      </c>
      <c r="BP3">
        <v>0</v>
      </c>
      <c r="BR3">
        <v>1</v>
      </c>
      <c r="BS3">
        <v>1</v>
      </c>
      <c r="BX3">
        <v>0</v>
      </c>
      <c r="BY3">
        <v>0</v>
      </c>
      <c r="BZ3">
        <v>0</v>
      </c>
      <c r="CA3">
        <v>-3</v>
      </c>
      <c r="CB3">
        <v>0</v>
      </c>
      <c r="CC3">
        <v>1</v>
      </c>
      <c r="CD3" s="54">
        <v>42230</v>
      </c>
      <c r="CE3" s="54">
        <v>42230</v>
      </c>
      <c r="CF3" s="54">
        <v>42230</v>
      </c>
      <c r="CG3" s="54">
        <v>42342</v>
      </c>
      <c r="CH3" s="54"/>
      <c r="CI3" s="54"/>
      <c r="CJ3">
        <v>0.15</v>
      </c>
      <c r="CK3">
        <v>0</v>
      </c>
      <c r="CL3">
        <v>0.01</v>
      </c>
      <c r="CM3">
        <v>0</v>
      </c>
      <c r="CN3">
        <v>0</v>
      </c>
      <c r="CO3">
        <v>0.5</v>
      </c>
      <c r="CP3">
        <v>0.36</v>
      </c>
      <c r="CQ3" t="s">
        <v>1269</v>
      </c>
      <c r="CR3" t="s">
        <v>613</v>
      </c>
      <c r="CS3" t="s">
        <v>1307</v>
      </c>
      <c r="CT3" t="s">
        <v>1268</v>
      </c>
      <c r="CU3" t="s">
        <v>1308</v>
      </c>
      <c r="CV3" t="s">
        <v>1316</v>
      </c>
      <c r="CW3" t="s">
        <v>1317</v>
      </c>
      <c r="CX3" t="s">
        <v>1311</v>
      </c>
      <c r="DC3" t="s">
        <v>1318</v>
      </c>
      <c r="DE3" t="s">
        <v>1313</v>
      </c>
    </row>
    <row r="4" spans="1:110" x14ac:dyDescent="0.25">
      <c r="A4" t="s">
        <v>1027</v>
      </c>
      <c r="B4">
        <v>7</v>
      </c>
      <c r="C4" s="54">
        <v>42331</v>
      </c>
      <c r="D4" t="s">
        <v>1301</v>
      </c>
      <c r="E4" t="s">
        <v>1271</v>
      </c>
      <c r="G4" t="s">
        <v>1319</v>
      </c>
      <c r="H4" t="s">
        <v>1256</v>
      </c>
      <c r="I4" t="s">
        <v>1256</v>
      </c>
      <c r="J4" t="s">
        <v>1256</v>
      </c>
      <c r="K4" t="s">
        <v>1256</v>
      </c>
      <c r="L4">
        <v>2576.81</v>
      </c>
      <c r="M4">
        <v>0</v>
      </c>
      <c r="N4">
        <v>0</v>
      </c>
      <c r="O4" s="54">
        <v>0</v>
      </c>
      <c r="P4" s="54">
        <v>0</v>
      </c>
      <c r="Q4">
        <v>6</v>
      </c>
      <c r="R4">
        <v>3</v>
      </c>
      <c r="S4">
        <v>16</v>
      </c>
      <c r="T4">
        <v>12</v>
      </c>
      <c r="U4">
        <v>4</v>
      </c>
      <c r="V4">
        <v>1</v>
      </c>
      <c r="W4" t="s">
        <v>1257</v>
      </c>
      <c r="X4" t="s">
        <v>1315</v>
      </c>
      <c r="AA4">
        <v>0</v>
      </c>
      <c r="AB4">
        <v>0</v>
      </c>
      <c r="AC4">
        <v>0</v>
      </c>
      <c r="AD4">
        <v>0</v>
      </c>
      <c r="AE4">
        <v>0</v>
      </c>
      <c r="AF4">
        <v>7</v>
      </c>
      <c r="AG4">
        <v>0</v>
      </c>
      <c r="AJ4" s="54"/>
      <c r="AK4" s="54"/>
      <c r="AL4" s="54"/>
      <c r="AP4" t="s">
        <v>1306</v>
      </c>
      <c r="AS4" t="s">
        <v>1266</v>
      </c>
      <c r="AT4">
        <v>1</v>
      </c>
      <c r="AV4">
        <v>15</v>
      </c>
      <c r="AW4">
        <v>10</v>
      </c>
      <c r="AX4">
        <v>5</v>
      </c>
      <c r="AY4" t="s">
        <v>839</v>
      </c>
      <c r="AZ4" t="s">
        <v>1258</v>
      </c>
      <c r="BA4">
        <v>20</v>
      </c>
      <c r="BE4">
        <v>0</v>
      </c>
      <c r="BF4">
        <v>1</v>
      </c>
      <c r="BG4">
        <v>8</v>
      </c>
      <c r="BH4">
        <v>0</v>
      </c>
      <c r="BI4">
        <v>0</v>
      </c>
      <c r="BJ4">
        <v>0</v>
      </c>
      <c r="BK4">
        <v>0</v>
      </c>
      <c r="BL4">
        <v>0</v>
      </c>
      <c r="BM4">
        <v>8</v>
      </c>
      <c r="BN4">
        <v>0.47</v>
      </c>
      <c r="BO4">
        <v>0</v>
      </c>
      <c r="BP4">
        <v>0</v>
      </c>
      <c r="BR4">
        <v>7</v>
      </c>
      <c r="BS4">
        <v>4</v>
      </c>
      <c r="BX4">
        <v>-12884.05</v>
      </c>
      <c r="BY4">
        <v>0</v>
      </c>
      <c r="BZ4">
        <v>0</v>
      </c>
      <c r="CA4">
        <v>-3</v>
      </c>
      <c r="CB4">
        <v>0</v>
      </c>
      <c r="CC4">
        <v>1</v>
      </c>
      <c r="CD4" s="54">
        <v>42230</v>
      </c>
      <c r="CE4" s="54">
        <v>42230</v>
      </c>
      <c r="CF4" s="54">
        <v>42230</v>
      </c>
      <c r="CG4" s="54">
        <v>42342</v>
      </c>
      <c r="CH4" s="54"/>
      <c r="CI4" s="54"/>
      <c r="CJ4">
        <v>0.83</v>
      </c>
      <c r="CK4">
        <v>0</v>
      </c>
      <c r="CL4">
        <v>0.06</v>
      </c>
      <c r="CM4">
        <v>0.75</v>
      </c>
      <c r="CN4">
        <v>0.06</v>
      </c>
      <c r="CO4">
        <v>0</v>
      </c>
      <c r="CP4">
        <v>0</v>
      </c>
      <c r="CQ4" t="s">
        <v>1269</v>
      </c>
      <c r="CR4" t="s">
        <v>613</v>
      </c>
      <c r="CS4" t="s">
        <v>1307</v>
      </c>
      <c r="CT4" t="s">
        <v>1268</v>
      </c>
      <c r="CU4" t="s">
        <v>1308</v>
      </c>
      <c r="CV4" t="s">
        <v>1320</v>
      </c>
      <c r="CW4" t="s">
        <v>1321</v>
      </c>
      <c r="CX4" t="s">
        <v>1311</v>
      </c>
      <c r="DC4" t="s">
        <v>1312</v>
      </c>
      <c r="DE4" t="s">
        <v>1313</v>
      </c>
    </row>
    <row r="5" spans="1:110" x14ac:dyDescent="0.25">
      <c r="A5" t="s">
        <v>1027</v>
      </c>
      <c r="B5">
        <v>7</v>
      </c>
      <c r="C5" s="54">
        <v>42331</v>
      </c>
      <c r="D5" t="s">
        <v>1301</v>
      </c>
      <c r="E5" t="s">
        <v>1322</v>
      </c>
      <c r="G5" t="s">
        <v>1323</v>
      </c>
      <c r="H5" t="s">
        <v>1256</v>
      </c>
      <c r="I5" t="s">
        <v>1256</v>
      </c>
      <c r="J5" t="s">
        <v>1256</v>
      </c>
      <c r="K5" t="s">
        <v>1256</v>
      </c>
      <c r="L5">
        <v>5.27</v>
      </c>
      <c r="M5">
        <v>0</v>
      </c>
      <c r="N5">
        <v>0</v>
      </c>
      <c r="O5" s="54">
        <v>0</v>
      </c>
      <c r="P5" s="54">
        <v>0</v>
      </c>
      <c r="Q5">
        <v>6</v>
      </c>
      <c r="R5">
        <v>3</v>
      </c>
      <c r="S5">
        <v>16</v>
      </c>
      <c r="T5">
        <v>12</v>
      </c>
      <c r="U5">
        <v>4</v>
      </c>
      <c r="V5">
        <v>1</v>
      </c>
      <c r="X5" t="s">
        <v>1305</v>
      </c>
      <c r="AA5">
        <v>0</v>
      </c>
      <c r="AB5">
        <v>0</v>
      </c>
      <c r="AC5">
        <v>0</v>
      </c>
      <c r="AD5">
        <v>0</v>
      </c>
      <c r="AE5">
        <v>0</v>
      </c>
      <c r="AF5">
        <v>0</v>
      </c>
      <c r="AG5">
        <v>0</v>
      </c>
      <c r="AJ5" s="54"/>
      <c r="AK5" s="54"/>
      <c r="AL5" s="54"/>
      <c r="AP5" t="s">
        <v>1306</v>
      </c>
      <c r="AS5" t="s">
        <v>1266</v>
      </c>
      <c r="AT5">
        <v>1</v>
      </c>
      <c r="AV5">
        <v>0</v>
      </c>
      <c r="AW5">
        <v>0</v>
      </c>
      <c r="AX5">
        <v>0</v>
      </c>
      <c r="AY5" t="s">
        <v>1265</v>
      </c>
      <c r="AZ5" t="s">
        <v>1265</v>
      </c>
      <c r="BA5">
        <v>0</v>
      </c>
      <c r="BE5">
        <v>0</v>
      </c>
      <c r="BF5">
        <v>0</v>
      </c>
      <c r="BG5">
        <v>0</v>
      </c>
      <c r="BH5">
        <v>0</v>
      </c>
      <c r="BI5">
        <v>0</v>
      </c>
      <c r="BJ5">
        <v>0</v>
      </c>
      <c r="BK5">
        <v>0</v>
      </c>
      <c r="BL5">
        <v>0</v>
      </c>
      <c r="BM5">
        <v>0</v>
      </c>
      <c r="BN5">
        <v>0</v>
      </c>
      <c r="BO5">
        <v>0</v>
      </c>
      <c r="BP5">
        <v>0</v>
      </c>
      <c r="BR5">
        <v>0</v>
      </c>
      <c r="BS5">
        <v>0</v>
      </c>
      <c r="BX5">
        <v>0</v>
      </c>
      <c r="BY5">
        <v>0</v>
      </c>
      <c r="BZ5">
        <v>0</v>
      </c>
      <c r="CA5">
        <v>0</v>
      </c>
      <c r="CB5">
        <v>0</v>
      </c>
      <c r="CC5">
        <v>1</v>
      </c>
      <c r="CD5" s="54">
        <v>42095</v>
      </c>
      <c r="CE5" s="54">
        <v>42219</v>
      </c>
      <c r="CF5" s="54">
        <v>42219</v>
      </c>
      <c r="CG5" s="54">
        <v>42331</v>
      </c>
      <c r="CH5" s="54"/>
      <c r="CI5" s="54"/>
      <c r="CJ5">
        <v>1</v>
      </c>
      <c r="CK5">
        <v>0</v>
      </c>
      <c r="CL5">
        <v>0.88</v>
      </c>
      <c r="CM5">
        <v>0</v>
      </c>
      <c r="CN5">
        <v>0</v>
      </c>
      <c r="CO5">
        <v>0</v>
      </c>
      <c r="CP5">
        <v>0</v>
      </c>
      <c r="CQ5" t="s">
        <v>1269</v>
      </c>
      <c r="CR5" t="s">
        <v>613</v>
      </c>
      <c r="CS5" t="s">
        <v>1307</v>
      </c>
      <c r="CT5" t="s">
        <v>1268</v>
      </c>
      <c r="CU5" t="s">
        <v>1308</v>
      </c>
      <c r="CV5" t="s">
        <v>1324</v>
      </c>
      <c r="CW5" t="s">
        <v>1325</v>
      </c>
      <c r="CX5" t="s">
        <v>1311</v>
      </c>
      <c r="DC5" t="s">
        <v>1312</v>
      </c>
      <c r="DE5" t="s">
        <v>1313</v>
      </c>
    </row>
    <row r="6" spans="1:110" x14ac:dyDescent="0.25">
      <c r="A6" t="s">
        <v>1027</v>
      </c>
      <c r="B6">
        <v>7</v>
      </c>
      <c r="C6" s="54">
        <v>42331</v>
      </c>
      <c r="D6" t="s">
        <v>1301</v>
      </c>
      <c r="E6" t="s">
        <v>1326</v>
      </c>
      <c r="G6" t="s">
        <v>1327</v>
      </c>
      <c r="H6" t="s">
        <v>1256</v>
      </c>
      <c r="I6" t="s">
        <v>1256</v>
      </c>
      <c r="J6" t="s">
        <v>1256</v>
      </c>
      <c r="K6" t="s">
        <v>1256</v>
      </c>
      <c r="L6">
        <v>2.64</v>
      </c>
      <c r="M6">
        <v>0</v>
      </c>
      <c r="N6">
        <v>0</v>
      </c>
      <c r="O6" s="54">
        <v>0</v>
      </c>
      <c r="P6" s="54">
        <v>0</v>
      </c>
      <c r="Q6">
        <v>6</v>
      </c>
      <c r="R6">
        <v>3</v>
      </c>
      <c r="S6">
        <v>16</v>
      </c>
      <c r="T6">
        <v>12</v>
      </c>
      <c r="U6">
        <v>4</v>
      </c>
      <c r="V6">
        <v>1</v>
      </c>
      <c r="X6" t="s">
        <v>1305</v>
      </c>
      <c r="AA6">
        <v>0</v>
      </c>
      <c r="AB6">
        <v>0</v>
      </c>
      <c r="AC6">
        <v>0</v>
      </c>
      <c r="AD6">
        <v>0</v>
      </c>
      <c r="AE6">
        <v>0</v>
      </c>
      <c r="AF6">
        <v>0</v>
      </c>
      <c r="AG6">
        <v>0</v>
      </c>
      <c r="AJ6" s="54"/>
      <c r="AK6" s="54"/>
      <c r="AL6" s="54"/>
      <c r="AP6" t="s">
        <v>1306</v>
      </c>
      <c r="AS6" t="s">
        <v>1266</v>
      </c>
      <c r="AT6">
        <v>1</v>
      </c>
      <c r="AV6">
        <v>0</v>
      </c>
      <c r="AW6">
        <v>0</v>
      </c>
      <c r="AX6">
        <v>0</v>
      </c>
      <c r="AY6" t="s">
        <v>1265</v>
      </c>
      <c r="AZ6" t="s">
        <v>1265</v>
      </c>
      <c r="BA6">
        <v>0</v>
      </c>
      <c r="BE6">
        <v>986</v>
      </c>
      <c r="BF6">
        <v>0</v>
      </c>
      <c r="BG6">
        <v>0</v>
      </c>
      <c r="BH6">
        <v>0</v>
      </c>
      <c r="BI6">
        <v>0</v>
      </c>
      <c r="BJ6">
        <v>0</v>
      </c>
      <c r="BK6">
        <v>0</v>
      </c>
      <c r="BL6">
        <v>0</v>
      </c>
      <c r="BM6">
        <v>986</v>
      </c>
      <c r="BN6">
        <v>0</v>
      </c>
      <c r="BO6">
        <v>0</v>
      </c>
      <c r="BP6">
        <v>0</v>
      </c>
      <c r="BR6">
        <v>0</v>
      </c>
      <c r="BS6">
        <v>0</v>
      </c>
      <c r="BX6">
        <v>0</v>
      </c>
      <c r="BY6">
        <v>0</v>
      </c>
      <c r="BZ6">
        <v>0</v>
      </c>
      <c r="CA6">
        <v>0</v>
      </c>
      <c r="CB6">
        <v>0</v>
      </c>
      <c r="CC6">
        <v>1</v>
      </c>
      <c r="CD6" s="54">
        <v>42095</v>
      </c>
      <c r="CE6" s="54">
        <v>42219</v>
      </c>
      <c r="CF6" s="54">
        <v>42219</v>
      </c>
      <c r="CG6" s="54">
        <v>42331</v>
      </c>
      <c r="CH6" s="54"/>
      <c r="CI6" s="54"/>
      <c r="CJ6">
        <v>0.15</v>
      </c>
      <c r="CK6">
        <v>0</v>
      </c>
      <c r="CL6">
        <v>0.02</v>
      </c>
      <c r="CM6">
        <v>0</v>
      </c>
      <c r="CN6">
        <v>0</v>
      </c>
      <c r="CO6">
        <v>0</v>
      </c>
      <c r="CP6">
        <v>0.86</v>
      </c>
      <c r="CQ6" t="s">
        <v>1269</v>
      </c>
      <c r="CR6" t="s">
        <v>613</v>
      </c>
      <c r="CS6" t="s">
        <v>1307</v>
      </c>
      <c r="CT6" t="s">
        <v>1268</v>
      </c>
      <c r="CU6" t="s">
        <v>1308</v>
      </c>
      <c r="CV6" t="s">
        <v>1328</v>
      </c>
      <c r="CW6" t="s">
        <v>1325</v>
      </c>
      <c r="CX6" t="s">
        <v>1311</v>
      </c>
      <c r="DC6" t="s">
        <v>1312</v>
      </c>
      <c r="DE6" t="s">
        <v>1313</v>
      </c>
    </row>
    <row r="7" spans="1:110" x14ac:dyDescent="0.25">
      <c r="A7" t="s">
        <v>1027</v>
      </c>
      <c r="B7">
        <v>7</v>
      </c>
      <c r="C7" s="54">
        <v>42331</v>
      </c>
      <c r="D7" t="s">
        <v>1301</v>
      </c>
      <c r="E7" t="s">
        <v>1272</v>
      </c>
      <c r="G7" t="s">
        <v>1329</v>
      </c>
      <c r="H7" t="s">
        <v>1256</v>
      </c>
      <c r="I7" t="s">
        <v>1256</v>
      </c>
      <c r="J7" t="s">
        <v>1256</v>
      </c>
      <c r="K7" t="s">
        <v>1256</v>
      </c>
      <c r="L7">
        <v>3969.8</v>
      </c>
      <c r="M7">
        <v>0</v>
      </c>
      <c r="N7">
        <v>0</v>
      </c>
      <c r="O7" s="54">
        <v>0</v>
      </c>
      <c r="P7" s="54">
        <v>0</v>
      </c>
      <c r="Q7">
        <v>6</v>
      </c>
      <c r="R7">
        <v>3</v>
      </c>
      <c r="S7">
        <v>16</v>
      </c>
      <c r="T7">
        <v>12</v>
      </c>
      <c r="U7">
        <v>4</v>
      </c>
      <c r="V7">
        <v>1</v>
      </c>
      <c r="W7" t="s">
        <v>1257</v>
      </c>
      <c r="X7" t="s">
        <v>1330</v>
      </c>
      <c r="AA7">
        <v>0</v>
      </c>
      <c r="AB7">
        <v>0</v>
      </c>
      <c r="AC7">
        <v>0</v>
      </c>
      <c r="AD7">
        <v>0</v>
      </c>
      <c r="AE7">
        <v>0</v>
      </c>
      <c r="AF7">
        <v>2</v>
      </c>
      <c r="AG7">
        <v>0</v>
      </c>
      <c r="AJ7" s="54"/>
      <c r="AK7" s="54"/>
      <c r="AL7" s="54"/>
      <c r="AP7" t="s">
        <v>1306</v>
      </c>
      <c r="AS7" t="s">
        <v>1266</v>
      </c>
      <c r="AT7">
        <v>1</v>
      </c>
      <c r="AV7">
        <v>20</v>
      </c>
      <c r="AW7">
        <v>13</v>
      </c>
      <c r="AX7">
        <v>7</v>
      </c>
      <c r="AY7" t="s">
        <v>1259</v>
      </c>
      <c r="AZ7" t="s">
        <v>1258</v>
      </c>
      <c r="BA7">
        <v>34</v>
      </c>
      <c r="BE7">
        <v>4.7</v>
      </c>
      <c r="BF7">
        <v>0.77</v>
      </c>
      <c r="BG7">
        <v>6</v>
      </c>
      <c r="BH7">
        <v>0</v>
      </c>
      <c r="BI7">
        <v>0</v>
      </c>
      <c r="BJ7">
        <v>0</v>
      </c>
      <c r="BK7">
        <v>0</v>
      </c>
      <c r="BL7">
        <v>0</v>
      </c>
      <c r="BM7">
        <v>10.7</v>
      </c>
      <c r="BN7">
        <v>0.47</v>
      </c>
      <c r="BO7">
        <v>0</v>
      </c>
      <c r="BP7">
        <v>0</v>
      </c>
      <c r="BR7">
        <v>9</v>
      </c>
      <c r="BS7">
        <v>5</v>
      </c>
      <c r="BX7">
        <v>-9130.5400000000009</v>
      </c>
      <c r="BY7">
        <v>0</v>
      </c>
      <c r="BZ7">
        <v>0</v>
      </c>
      <c r="CA7">
        <v>-3</v>
      </c>
      <c r="CB7">
        <v>0</v>
      </c>
      <c r="CC7">
        <v>1</v>
      </c>
      <c r="CD7" s="54">
        <v>42290</v>
      </c>
      <c r="CE7" s="54">
        <v>42290</v>
      </c>
      <c r="CF7" s="54">
        <v>42290</v>
      </c>
      <c r="CG7" s="54">
        <v>42402</v>
      </c>
      <c r="CH7" s="54"/>
      <c r="CI7" s="54"/>
      <c r="CJ7">
        <v>0.23</v>
      </c>
      <c r="CK7">
        <v>0</v>
      </c>
      <c r="CL7">
        <v>0</v>
      </c>
      <c r="CM7">
        <v>0.26</v>
      </c>
      <c r="CN7">
        <v>0.13</v>
      </c>
      <c r="CO7">
        <v>0</v>
      </c>
      <c r="CP7">
        <v>0</v>
      </c>
      <c r="CQ7" t="s">
        <v>1269</v>
      </c>
      <c r="CR7" t="s">
        <v>613</v>
      </c>
      <c r="CS7" t="s">
        <v>1307</v>
      </c>
      <c r="CT7" t="s">
        <v>1268</v>
      </c>
      <c r="CU7" t="s">
        <v>1308</v>
      </c>
      <c r="CV7" t="s">
        <v>1331</v>
      </c>
      <c r="CW7" t="s">
        <v>1332</v>
      </c>
      <c r="CX7" t="s">
        <v>1311</v>
      </c>
      <c r="DC7" t="s">
        <v>1312</v>
      </c>
      <c r="DE7" t="s">
        <v>1313</v>
      </c>
    </row>
    <row r="8" spans="1:110" x14ac:dyDescent="0.25">
      <c r="A8" t="s">
        <v>1027</v>
      </c>
      <c r="B8">
        <v>7</v>
      </c>
      <c r="C8" s="54">
        <v>42331</v>
      </c>
      <c r="D8" t="s">
        <v>1301</v>
      </c>
      <c r="E8" t="s">
        <v>1333</v>
      </c>
      <c r="G8" t="s">
        <v>1334</v>
      </c>
      <c r="H8" t="s">
        <v>1256</v>
      </c>
      <c r="I8" t="s">
        <v>1256</v>
      </c>
      <c r="J8" t="s">
        <v>1256</v>
      </c>
      <c r="K8" t="s">
        <v>1256</v>
      </c>
      <c r="L8">
        <v>0</v>
      </c>
      <c r="M8">
        <v>0</v>
      </c>
      <c r="N8">
        <v>0</v>
      </c>
      <c r="O8" s="54">
        <v>0</v>
      </c>
      <c r="P8" s="54">
        <v>0</v>
      </c>
      <c r="Q8">
        <v>6</v>
      </c>
      <c r="R8">
        <v>3</v>
      </c>
      <c r="S8">
        <v>16</v>
      </c>
      <c r="T8">
        <v>12</v>
      </c>
      <c r="U8">
        <v>4</v>
      </c>
      <c r="V8">
        <v>1</v>
      </c>
      <c r="X8" t="s">
        <v>1305</v>
      </c>
      <c r="AA8">
        <v>0</v>
      </c>
      <c r="AB8">
        <v>0</v>
      </c>
      <c r="AC8">
        <v>0</v>
      </c>
      <c r="AD8">
        <v>0</v>
      </c>
      <c r="AE8">
        <v>0</v>
      </c>
      <c r="AF8">
        <v>0</v>
      </c>
      <c r="AG8">
        <v>0</v>
      </c>
      <c r="AJ8" s="54"/>
      <c r="AK8" s="54"/>
      <c r="AL8" s="54"/>
      <c r="AP8" t="s">
        <v>1306</v>
      </c>
      <c r="AS8" t="s">
        <v>1266</v>
      </c>
      <c r="AT8">
        <v>1</v>
      </c>
      <c r="AV8">
        <v>0</v>
      </c>
      <c r="AW8">
        <v>0</v>
      </c>
      <c r="AX8">
        <v>0</v>
      </c>
      <c r="AY8" t="s">
        <v>1265</v>
      </c>
      <c r="AZ8" t="s">
        <v>1265</v>
      </c>
      <c r="BA8">
        <v>0</v>
      </c>
      <c r="BE8">
        <v>0</v>
      </c>
      <c r="BF8">
        <v>0</v>
      </c>
      <c r="BG8">
        <v>0</v>
      </c>
      <c r="BH8">
        <v>0</v>
      </c>
      <c r="BI8">
        <v>0</v>
      </c>
      <c r="BJ8">
        <v>0</v>
      </c>
      <c r="BK8">
        <v>0</v>
      </c>
      <c r="BL8">
        <v>0</v>
      </c>
      <c r="BM8">
        <v>0</v>
      </c>
      <c r="BN8">
        <v>0</v>
      </c>
      <c r="BO8">
        <v>0</v>
      </c>
      <c r="BP8">
        <v>0</v>
      </c>
      <c r="BR8">
        <v>0</v>
      </c>
      <c r="BS8">
        <v>0</v>
      </c>
      <c r="BX8">
        <v>0</v>
      </c>
      <c r="BY8">
        <v>0</v>
      </c>
      <c r="BZ8">
        <v>0</v>
      </c>
      <c r="CA8">
        <v>0</v>
      </c>
      <c r="CB8">
        <v>0</v>
      </c>
      <c r="CC8">
        <v>1</v>
      </c>
      <c r="CD8" s="54">
        <v>42095</v>
      </c>
      <c r="CE8" s="54">
        <v>42219</v>
      </c>
      <c r="CF8" s="54">
        <v>42219</v>
      </c>
      <c r="CG8" s="54">
        <v>42331</v>
      </c>
      <c r="CH8" s="54"/>
      <c r="CI8" s="54"/>
      <c r="CJ8">
        <v>1</v>
      </c>
      <c r="CK8">
        <v>0</v>
      </c>
      <c r="CL8">
        <v>0.88</v>
      </c>
      <c r="CM8">
        <v>0</v>
      </c>
      <c r="CN8">
        <v>0</v>
      </c>
      <c r="CO8">
        <v>0</v>
      </c>
      <c r="CP8">
        <v>0</v>
      </c>
      <c r="CQ8" t="s">
        <v>1269</v>
      </c>
      <c r="CR8" t="s">
        <v>613</v>
      </c>
      <c r="CS8" t="s">
        <v>1307</v>
      </c>
      <c r="CT8" t="s">
        <v>1268</v>
      </c>
      <c r="CU8" t="s">
        <v>1308</v>
      </c>
      <c r="CV8" t="s">
        <v>1335</v>
      </c>
      <c r="CW8" t="s">
        <v>1336</v>
      </c>
      <c r="CX8" t="s">
        <v>1311</v>
      </c>
      <c r="DC8" t="s">
        <v>1312</v>
      </c>
      <c r="DE8" t="s">
        <v>1313</v>
      </c>
    </row>
    <row r="9" spans="1:110" x14ac:dyDescent="0.25">
      <c r="A9" t="s">
        <v>1027</v>
      </c>
      <c r="B9">
        <v>7</v>
      </c>
      <c r="C9" s="54">
        <v>42331</v>
      </c>
      <c r="D9" t="s">
        <v>1301</v>
      </c>
      <c r="E9" t="s">
        <v>1273</v>
      </c>
      <c r="G9" t="s">
        <v>1337</v>
      </c>
      <c r="H9" t="s">
        <v>1256</v>
      </c>
      <c r="I9" t="s">
        <v>1256</v>
      </c>
      <c r="J9" t="s">
        <v>1256</v>
      </c>
      <c r="K9" t="s">
        <v>1256</v>
      </c>
      <c r="L9">
        <v>1381.52</v>
      </c>
      <c r="M9">
        <v>0</v>
      </c>
      <c r="N9">
        <v>0</v>
      </c>
      <c r="O9" s="54">
        <v>0</v>
      </c>
      <c r="P9" s="54">
        <v>0</v>
      </c>
      <c r="Q9">
        <v>6</v>
      </c>
      <c r="R9">
        <v>3</v>
      </c>
      <c r="S9">
        <v>16</v>
      </c>
      <c r="T9">
        <v>12</v>
      </c>
      <c r="U9">
        <v>4</v>
      </c>
      <c r="V9">
        <v>1</v>
      </c>
      <c r="W9" t="s">
        <v>1304</v>
      </c>
      <c r="X9" t="s">
        <v>1305</v>
      </c>
      <c r="Y9">
        <v>14</v>
      </c>
      <c r="AA9">
        <v>0</v>
      </c>
      <c r="AB9">
        <v>0</v>
      </c>
      <c r="AC9">
        <v>0</v>
      </c>
      <c r="AD9">
        <v>0</v>
      </c>
      <c r="AE9">
        <v>0</v>
      </c>
      <c r="AF9">
        <v>2</v>
      </c>
      <c r="AG9">
        <v>0</v>
      </c>
      <c r="AJ9" s="54"/>
      <c r="AK9" s="54"/>
      <c r="AL9" s="54"/>
      <c r="AO9">
        <v>3</v>
      </c>
      <c r="AP9" t="s">
        <v>1306</v>
      </c>
      <c r="AS9" t="s">
        <v>1266</v>
      </c>
      <c r="AT9">
        <v>1</v>
      </c>
      <c r="AV9">
        <v>10</v>
      </c>
      <c r="AW9">
        <v>7</v>
      </c>
      <c r="AX9">
        <v>3</v>
      </c>
      <c r="AY9" t="s">
        <v>1258</v>
      </c>
      <c r="AZ9" t="s">
        <v>1258</v>
      </c>
      <c r="BA9">
        <v>10</v>
      </c>
      <c r="BE9">
        <v>3.1</v>
      </c>
      <c r="BF9">
        <v>0.69</v>
      </c>
      <c r="BG9">
        <v>0</v>
      </c>
      <c r="BH9">
        <v>0</v>
      </c>
      <c r="BI9">
        <v>0</v>
      </c>
      <c r="BJ9">
        <v>0</v>
      </c>
      <c r="BK9">
        <v>0</v>
      </c>
      <c r="BL9">
        <v>0</v>
      </c>
      <c r="BM9">
        <v>3.1</v>
      </c>
      <c r="BN9">
        <v>0.69</v>
      </c>
      <c r="BO9">
        <v>0</v>
      </c>
      <c r="BP9">
        <v>0</v>
      </c>
      <c r="BR9">
        <v>7</v>
      </c>
      <c r="BS9">
        <v>3</v>
      </c>
      <c r="BX9">
        <v>0</v>
      </c>
      <c r="BY9">
        <v>0</v>
      </c>
      <c r="BZ9">
        <v>0</v>
      </c>
      <c r="CA9">
        <v>-3</v>
      </c>
      <c r="CB9">
        <v>0</v>
      </c>
      <c r="CC9">
        <v>1</v>
      </c>
      <c r="CD9" s="54">
        <v>42095</v>
      </c>
      <c r="CE9" s="54">
        <v>42219</v>
      </c>
      <c r="CF9" s="54">
        <v>42219</v>
      </c>
      <c r="CG9" s="54">
        <v>42331</v>
      </c>
      <c r="CH9" s="54"/>
      <c r="CI9" s="54"/>
      <c r="CJ9">
        <v>0.28999999999999998</v>
      </c>
      <c r="CK9">
        <v>6.09</v>
      </c>
      <c r="CL9">
        <v>0.02</v>
      </c>
      <c r="CM9">
        <v>0.03</v>
      </c>
      <c r="CN9">
        <v>0.83</v>
      </c>
      <c r="CO9">
        <v>0</v>
      </c>
      <c r="CP9">
        <v>0</v>
      </c>
      <c r="CQ9" t="s">
        <v>1269</v>
      </c>
      <c r="CR9" t="s">
        <v>613</v>
      </c>
      <c r="CS9" t="s">
        <v>1307</v>
      </c>
      <c r="CT9" t="s">
        <v>1268</v>
      </c>
      <c r="CU9" t="s">
        <v>1308</v>
      </c>
      <c r="CV9" t="s">
        <v>1338</v>
      </c>
      <c r="CW9" t="s">
        <v>1339</v>
      </c>
      <c r="CX9" t="s">
        <v>1311</v>
      </c>
      <c r="DC9" t="s">
        <v>1312</v>
      </c>
      <c r="DE9" t="s">
        <v>1313</v>
      </c>
    </row>
    <row r="10" spans="1:110" x14ac:dyDescent="0.25">
      <c r="A10" t="s">
        <v>1027</v>
      </c>
      <c r="B10">
        <v>7</v>
      </c>
      <c r="C10" s="54">
        <v>42331</v>
      </c>
      <c r="D10" t="s">
        <v>1301</v>
      </c>
      <c r="E10" t="s">
        <v>1340</v>
      </c>
      <c r="G10" t="s">
        <v>1341</v>
      </c>
      <c r="H10" t="s">
        <v>1256</v>
      </c>
      <c r="I10" t="s">
        <v>1256</v>
      </c>
      <c r="J10" t="s">
        <v>1256</v>
      </c>
      <c r="K10" t="s">
        <v>1256</v>
      </c>
      <c r="L10">
        <v>0.69</v>
      </c>
      <c r="M10">
        <v>0</v>
      </c>
      <c r="N10">
        <v>0</v>
      </c>
      <c r="O10" s="54">
        <v>0</v>
      </c>
      <c r="P10" s="54">
        <v>0</v>
      </c>
      <c r="Q10">
        <v>6</v>
      </c>
      <c r="R10">
        <v>3</v>
      </c>
      <c r="S10">
        <v>16</v>
      </c>
      <c r="T10">
        <v>12</v>
      </c>
      <c r="U10">
        <v>4</v>
      </c>
      <c r="V10">
        <v>1</v>
      </c>
      <c r="X10" t="s">
        <v>1305</v>
      </c>
      <c r="AA10">
        <v>0</v>
      </c>
      <c r="AB10">
        <v>0</v>
      </c>
      <c r="AC10">
        <v>0</v>
      </c>
      <c r="AD10">
        <v>0</v>
      </c>
      <c r="AE10">
        <v>0</v>
      </c>
      <c r="AF10">
        <v>0</v>
      </c>
      <c r="AG10">
        <v>0</v>
      </c>
      <c r="AJ10" s="54"/>
      <c r="AK10" s="54"/>
      <c r="AL10" s="54"/>
      <c r="AP10" t="s">
        <v>1306</v>
      </c>
      <c r="AS10" t="s">
        <v>1266</v>
      </c>
      <c r="AT10">
        <v>1</v>
      </c>
      <c r="AV10">
        <v>0</v>
      </c>
      <c r="AW10">
        <v>0</v>
      </c>
      <c r="AX10">
        <v>0</v>
      </c>
      <c r="AY10" t="s">
        <v>1265</v>
      </c>
      <c r="AZ10" t="s">
        <v>1265</v>
      </c>
      <c r="BA10">
        <v>0</v>
      </c>
      <c r="BE10">
        <v>0</v>
      </c>
      <c r="BF10">
        <v>0</v>
      </c>
      <c r="BG10">
        <v>0</v>
      </c>
      <c r="BH10">
        <v>0</v>
      </c>
      <c r="BI10">
        <v>0</v>
      </c>
      <c r="BJ10">
        <v>0</v>
      </c>
      <c r="BK10">
        <v>0</v>
      </c>
      <c r="BL10">
        <v>0</v>
      </c>
      <c r="BM10">
        <v>0</v>
      </c>
      <c r="BN10">
        <v>0</v>
      </c>
      <c r="BO10">
        <v>0</v>
      </c>
      <c r="BP10">
        <v>0</v>
      </c>
      <c r="BR10">
        <v>0</v>
      </c>
      <c r="BS10">
        <v>0</v>
      </c>
      <c r="BX10">
        <v>0</v>
      </c>
      <c r="BY10">
        <v>0</v>
      </c>
      <c r="BZ10">
        <v>0</v>
      </c>
      <c r="CA10">
        <v>0</v>
      </c>
      <c r="CB10">
        <v>0</v>
      </c>
      <c r="CC10">
        <v>1</v>
      </c>
      <c r="CD10" s="54">
        <v>42095</v>
      </c>
      <c r="CE10" s="54">
        <v>42219</v>
      </c>
      <c r="CF10" s="54">
        <v>42219</v>
      </c>
      <c r="CG10" s="54">
        <v>42331</v>
      </c>
      <c r="CH10" s="54"/>
      <c r="CI10" s="54"/>
      <c r="CJ10">
        <v>1</v>
      </c>
      <c r="CK10">
        <v>0</v>
      </c>
      <c r="CL10">
        <v>0.88</v>
      </c>
      <c r="CM10">
        <v>0</v>
      </c>
      <c r="CN10">
        <v>0</v>
      </c>
      <c r="CO10">
        <v>0</v>
      </c>
      <c r="CP10">
        <v>0</v>
      </c>
      <c r="CQ10" t="s">
        <v>1269</v>
      </c>
      <c r="CR10" t="s">
        <v>613</v>
      </c>
      <c r="CS10" t="s">
        <v>1307</v>
      </c>
      <c r="CT10" t="s">
        <v>1268</v>
      </c>
      <c r="CU10" t="s">
        <v>1308</v>
      </c>
      <c r="CV10" t="s">
        <v>1342</v>
      </c>
      <c r="CW10" t="s">
        <v>1343</v>
      </c>
      <c r="CX10" t="s">
        <v>1311</v>
      </c>
      <c r="DC10" t="s">
        <v>1312</v>
      </c>
      <c r="DE10" t="s">
        <v>1313</v>
      </c>
    </row>
    <row r="11" spans="1:110" x14ac:dyDescent="0.25">
      <c r="A11" t="s">
        <v>1027</v>
      </c>
      <c r="B11">
        <v>7</v>
      </c>
      <c r="C11" s="54">
        <v>42331</v>
      </c>
      <c r="D11" t="s">
        <v>1301</v>
      </c>
      <c r="E11" t="s">
        <v>1344</v>
      </c>
      <c r="G11" t="s">
        <v>1345</v>
      </c>
      <c r="H11" t="s">
        <v>1256</v>
      </c>
      <c r="I11" t="s">
        <v>1256</v>
      </c>
      <c r="J11" t="s">
        <v>1256</v>
      </c>
      <c r="K11" t="s">
        <v>1256</v>
      </c>
      <c r="L11">
        <v>1549.56</v>
      </c>
      <c r="M11">
        <v>2150</v>
      </c>
      <c r="N11">
        <v>0</v>
      </c>
      <c r="O11" s="54">
        <v>0</v>
      </c>
      <c r="P11" s="54">
        <v>0</v>
      </c>
      <c r="Q11">
        <v>6</v>
      </c>
      <c r="R11">
        <v>3</v>
      </c>
      <c r="S11">
        <v>16</v>
      </c>
      <c r="T11">
        <v>12</v>
      </c>
      <c r="U11">
        <v>4</v>
      </c>
      <c r="V11">
        <v>1</v>
      </c>
      <c r="W11" t="s">
        <v>1257</v>
      </c>
      <c r="X11" t="s">
        <v>1315</v>
      </c>
      <c r="AA11">
        <v>0</v>
      </c>
      <c r="AB11">
        <v>0</v>
      </c>
      <c r="AC11">
        <v>0</v>
      </c>
      <c r="AD11">
        <v>0</v>
      </c>
      <c r="AE11">
        <v>0</v>
      </c>
      <c r="AF11">
        <v>2</v>
      </c>
      <c r="AG11">
        <v>0</v>
      </c>
      <c r="AJ11" s="54"/>
      <c r="AK11" s="54"/>
      <c r="AL11" s="54"/>
      <c r="AP11" t="s">
        <v>1306</v>
      </c>
      <c r="AS11" t="s">
        <v>1266</v>
      </c>
      <c r="AT11">
        <v>1</v>
      </c>
      <c r="AV11">
        <v>9</v>
      </c>
      <c r="AW11">
        <v>6</v>
      </c>
      <c r="AX11">
        <v>3</v>
      </c>
      <c r="AY11" t="s">
        <v>1261</v>
      </c>
      <c r="AZ11" t="s">
        <v>1261</v>
      </c>
      <c r="BA11">
        <v>13</v>
      </c>
      <c r="BE11">
        <v>9</v>
      </c>
      <c r="BF11">
        <v>0</v>
      </c>
      <c r="BG11">
        <v>0</v>
      </c>
      <c r="BH11">
        <v>0</v>
      </c>
      <c r="BI11">
        <v>0</v>
      </c>
      <c r="BJ11">
        <v>0</v>
      </c>
      <c r="BK11">
        <v>0</v>
      </c>
      <c r="BL11">
        <v>0</v>
      </c>
      <c r="BM11">
        <v>9</v>
      </c>
      <c r="BN11">
        <v>0</v>
      </c>
      <c r="BO11">
        <v>0</v>
      </c>
      <c r="BP11">
        <v>0</v>
      </c>
      <c r="BR11">
        <v>0</v>
      </c>
      <c r="BS11">
        <v>2</v>
      </c>
      <c r="BX11">
        <v>0</v>
      </c>
      <c r="BY11">
        <v>0</v>
      </c>
      <c r="BZ11">
        <v>0</v>
      </c>
      <c r="CA11">
        <v>1.1599999999999999</v>
      </c>
      <c r="CB11">
        <v>0</v>
      </c>
      <c r="CC11">
        <v>1</v>
      </c>
      <c r="CD11" s="54">
        <v>42230</v>
      </c>
      <c r="CE11" s="54">
        <v>42230</v>
      </c>
      <c r="CF11" s="54">
        <v>42230</v>
      </c>
      <c r="CG11" s="54">
        <v>42342</v>
      </c>
      <c r="CH11" s="54"/>
      <c r="CI11" s="54"/>
      <c r="CJ11">
        <v>0.13</v>
      </c>
      <c r="CK11">
        <v>0</v>
      </c>
      <c r="CL11">
        <v>0.01</v>
      </c>
      <c r="CM11">
        <v>0</v>
      </c>
      <c r="CN11">
        <v>0</v>
      </c>
      <c r="CO11">
        <v>0.49</v>
      </c>
      <c r="CP11">
        <v>0.38</v>
      </c>
      <c r="CQ11" t="s">
        <v>1269</v>
      </c>
      <c r="CR11" t="s">
        <v>613</v>
      </c>
      <c r="CS11" t="s">
        <v>1307</v>
      </c>
      <c r="CT11" t="s">
        <v>1268</v>
      </c>
      <c r="CU11" t="s">
        <v>1308</v>
      </c>
      <c r="CV11" t="s">
        <v>1346</v>
      </c>
      <c r="CW11" t="s">
        <v>1347</v>
      </c>
      <c r="CX11" t="s">
        <v>1311</v>
      </c>
      <c r="DC11" t="s">
        <v>1318</v>
      </c>
      <c r="DE11" t="s">
        <v>1313</v>
      </c>
    </row>
    <row r="12" spans="1:110" x14ac:dyDescent="0.25">
      <c r="A12" t="s">
        <v>1027</v>
      </c>
      <c r="B12">
        <v>7</v>
      </c>
      <c r="C12" s="54">
        <v>42331</v>
      </c>
      <c r="D12" t="s">
        <v>1301</v>
      </c>
      <c r="E12" t="s">
        <v>1348</v>
      </c>
      <c r="G12" t="s">
        <v>1349</v>
      </c>
      <c r="H12" t="s">
        <v>1256</v>
      </c>
      <c r="I12" t="s">
        <v>1256</v>
      </c>
      <c r="J12" t="s">
        <v>1256</v>
      </c>
      <c r="K12" t="s">
        <v>1256</v>
      </c>
      <c r="L12">
        <v>0</v>
      </c>
      <c r="M12">
        <v>0</v>
      </c>
      <c r="N12">
        <v>0</v>
      </c>
      <c r="O12" s="54">
        <v>0</v>
      </c>
      <c r="P12" s="54">
        <v>0</v>
      </c>
      <c r="Q12">
        <v>6</v>
      </c>
      <c r="R12">
        <v>14</v>
      </c>
      <c r="S12">
        <v>28</v>
      </c>
      <c r="T12">
        <v>16</v>
      </c>
      <c r="U12">
        <v>12</v>
      </c>
      <c r="V12">
        <v>1</v>
      </c>
      <c r="X12" t="s">
        <v>1350</v>
      </c>
      <c r="AA12">
        <v>0</v>
      </c>
      <c r="AB12">
        <v>0</v>
      </c>
      <c r="AC12">
        <v>0</v>
      </c>
      <c r="AD12">
        <v>0</v>
      </c>
      <c r="AE12">
        <v>0</v>
      </c>
      <c r="AF12">
        <v>0</v>
      </c>
      <c r="AG12">
        <v>0</v>
      </c>
      <c r="AJ12" s="54"/>
      <c r="AK12" s="54"/>
      <c r="AL12" s="54"/>
      <c r="AP12" t="s">
        <v>1306</v>
      </c>
      <c r="AS12" t="s">
        <v>1266</v>
      </c>
      <c r="AT12">
        <v>1</v>
      </c>
      <c r="AV12">
        <v>0</v>
      </c>
      <c r="AW12">
        <v>0</v>
      </c>
      <c r="AX12">
        <v>0</v>
      </c>
      <c r="AY12" t="s">
        <v>1265</v>
      </c>
      <c r="AZ12" t="s">
        <v>1265</v>
      </c>
      <c r="BA12">
        <v>0</v>
      </c>
      <c r="BE12">
        <v>0</v>
      </c>
      <c r="BF12">
        <v>0</v>
      </c>
      <c r="BG12">
        <v>0</v>
      </c>
      <c r="BH12">
        <v>0</v>
      </c>
      <c r="BI12">
        <v>0</v>
      </c>
      <c r="BJ12">
        <v>0</v>
      </c>
      <c r="BK12">
        <v>0</v>
      </c>
      <c r="BL12">
        <v>0</v>
      </c>
      <c r="BM12">
        <v>0</v>
      </c>
      <c r="BN12">
        <v>0</v>
      </c>
      <c r="BO12">
        <v>0</v>
      </c>
      <c r="BP12">
        <v>0</v>
      </c>
      <c r="BR12">
        <v>0</v>
      </c>
      <c r="BS12">
        <v>0</v>
      </c>
      <c r="BX12">
        <v>0</v>
      </c>
      <c r="BY12">
        <v>0</v>
      </c>
      <c r="BZ12">
        <v>0</v>
      </c>
      <c r="CA12">
        <v>0</v>
      </c>
      <c r="CB12">
        <v>0</v>
      </c>
      <c r="CC12">
        <v>1</v>
      </c>
      <c r="CD12" s="54">
        <v>42095</v>
      </c>
      <c r="CE12" s="54">
        <v>42135</v>
      </c>
      <c r="CF12" s="54">
        <v>42135</v>
      </c>
      <c r="CG12" s="54">
        <v>42331</v>
      </c>
      <c r="CH12" s="54"/>
      <c r="CI12" s="54"/>
      <c r="CJ12">
        <v>1</v>
      </c>
      <c r="CK12">
        <v>0</v>
      </c>
      <c r="CL12">
        <v>0.85</v>
      </c>
      <c r="CM12">
        <v>0</v>
      </c>
      <c r="CN12">
        <v>0</v>
      </c>
      <c r="CO12">
        <v>0</v>
      </c>
      <c r="CP12">
        <v>0</v>
      </c>
      <c r="CQ12" t="s">
        <v>1269</v>
      </c>
      <c r="CR12" t="s">
        <v>613</v>
      </c>
      <c r="CS12" t="s">
        <v>1307</v>
      </c>
      <c r="CT12" t="s">
        <v>1268</v>
      </c>
      <c r="CU12" t="s">
        <v>1351</v>
      </c>
      <c r="CV12" t="s">
        <v>1352</v>
      </c>
      <c r="CW12" t="s">
        <v>1353</v>
      </c>
      <c r="CX12" t="s">
        <v>1354</v>
      </c>
      <c r="DC12" t="s">
        <v>1355</v>
      </c>
      <c r="DE12" t="s">
        <v>1356</v>
      </c>
    </row>
    <row r="13" spans="1:110" x14ac:dyDescent="0.25">
      <c r="A13" t="s">
        <v>1027</v>
      </c>
      <c r="B13">
        <v>7</v>
      </c>
      <c r="C13" s="54">
        <v>42331</v>
      </c>
      <c r="D13" t="s">
        <v>1301</v>
      </c>
      <c r="E13" t="s">
        <v>1274</v>
      </c>
      <c r="G13" t="s">
        <v>1357</v>
      </c>
      <c r="H13" t="s">
        <v>1256</v>
      </c>
      <c r="I13" t="s">
        <v>1256</v>
      </c>
      <c r="J13" t="s">
        <v>1256</v>
      </c>
      <c r="K13" t="s">
        <v>1256</v>
      </c>
      <c r="L13">
        <v>0</v>
      </c>
      <c r="M13">
        <v>0</v>
      </c>
      <c r="N13">
        <v>0</v>
      </c>
      <c r="O13" s="54">
        <v>0</v>
      </c>
      <c r="P13" s="54">
        <v>0</v>
      </c>
      <c r="Q13">
        <v>6</v>
      </c>
      <c r="R13">
        <v>3</v>
      </c>
      <c r="S13">
        <v>16</v>
      </c>
      <c r="T13">
        <v>12</v>
      </c>
      <c r="U13">
        <v>4</v>
      </c>
      <c r="V13">
        <v>1</v>
      </c>
      <c r="W13" t="s">
        <v>1304</v>
      </c>
      <c r="X13" t="s">
        <v>1305</v>
      </c>
      <c r="Y13">
        <v>13300</v>
      </c>
      <c r="AA13">
        <v>0</v>
      </c>
      <c r="AB13">
        <v>0</v>
      </c>
      <c r="AC13">
        <v>0</v>
      </c>
      <c r="AD13">
        <v>0</v>
      </c>
      <c r="AE13">
        <v>0</v>
      </c>
      <c r="AF13">
        <v>100</v>
      </c>
      <c r="AG13">
        <v>0</v>
      </c>
      <c r="AJ13" s="54"/>
      <c r="AK13" s="54"/>
      <c r="AL13" s="54"/>
      <c r="AP13" t="s">
        <v>1306</v>
      </c>
      <c r="AS13" t="s">
        <v>1266</v>
      </c>
      <c r="AT13">
        <v>1</v>
      </c>
      <c r="AV13">
        <v>10000</v>
      </c>
      <c r="AW13">
        <v>6650</v>
      </c>
      <c r="AX13">
        <v>3300</v>
      </c>
      <c r="AY13" t="s">
        <v>839</v>
      </c>
      <c r="AZ13" t="s">
        <v>839</v>
      </c>
      <c r="BA13">
        <v>10000</v>
      </c>
      <c r="BE13">
        <v>0</v>
      </c>
      <c r="BF13">
        <v>1</v>
      </c>
      <c r="BG13">
        <v>0</v>
      </c>
      <c r="BH13">
        <v>0</v>
      </c>
      <c r="BI13">
        <v>0</v>
      </c>
      <c r="BJ13">
        <v>0</v>
      </c>
      <c r="BK13">
        <v>0</v>
      </c>
      <c r="BL13">
        <v>0</v>
      </c>
      <c r="BM13">
        <v>0</v>
      </c>
      <c r="BN13">
        <v>1</v>
      </c>
      <c r="BO13">
        <v>0</v>
      </c>
      <c r="BP13">
        <v>0</v>
      </c>
      <c r="BR13">
        <v>10000</v>
      </c>
      <c r="BS13">
        <v>2500</v>
      </c>
      <c r="BX13">
        <v>0</v>
      </c>
      <c r="BY13">
        <v>0</v>
      </c>
      <c r="BZ13">
        <v>0</v>
      </c>
      <c r="CA13">
        <v>0</v>
      </c>
      <c r="CB13">
        <v>0</v>
      </c>
      <c r="CC13">
        <v>1</v>
      </c>
      <c r="CD13" s="54">
        <v>42095</v>
      </c>
      <c r="CE13" s="54">
        <v>42219</v>
      </c>
      <c r="CF13" s="54">
        <v>42219</v>
      </c>
      <c r="CG13" s="54">
        <v>42331</v>
      </c>
      <c r="CH13" s="54"/>
      <c r="CI13" s="54"/>
      <c r="CJ13">
        <v>1</v>
      </c>
      <c r="CK13">
        <v>316800</v>
      </c>
      <c r="CL13">
        <v>0.88</v>
      </c>
      <c r="CM13">
        <v>0</v>
      </c>
      <c r="CN13">
        <v>0</v>
      </c>
      <c r="CO13">
        <v>0</v>
      </c>
      <c r="CP13">
        <v>0</v>
      </c>
      <c r="CQ13" t="s">
        <v>1269</v>
      </c>
      <c r="CR13" t="s">
        <v>613</v>
      </c>
      <c r="CS13" t="s">
        <v>1307</v>
      </c>
      <c r="CT13" t="s">
        <v>1268</v>
      </c>
      <c r="CU13" t="s">
        <v>1308</v>
      </c>
      <c r="CV13" t="s">
        <v>1358</v>
      </c>
      <c r="CW13" t="s">
        <v>1359</v>
      </c>
      <c r="CX13" t="s">
        <v>1311</v>
      </c>
      <c r="DC13" t="s">
        <v>1318</v>
      </c>
      <c r="DE13" t="s">
        <v>1313</v>
      </c>
    </row>
    <row r="14" spans="1:110" x14ac:dyDescent="0.25">
      <c r="A14" t="s">
        <v>1027</v>
      </c>
      <c r="B14">
        <v>7</v>
      </c>
      <c r="C14" s="54">
        <v>42331</v>
      </c>
      <c r="D14" t="s">
        <v>1301</v>
      </c>
      <c r="E14" t="s">
        <v>1360</v>
      </c>
      <c r="G14" t="s">
        <v>1361</v>
      </c>
      <c r="H14" t="s">
        <v>1256</v>
      </c>
      <c r="I14" t="s">
        <v>1256</v>
      </c>
      <c r="J14" t="s">
        <v>1256</v>
      </c>
      <c r="K14" t="s">
        <v>1256</v>
      </c>
      <c r="L14">
        <v>1.17</v>
      </c>
      <c r="M14">
        <v>0</v>
      </c>
      <c r="N14">
        <v>0</v>
      </c>
      <c r="O14" s="54">
        <v>0</v>
      </c>
      <c r="P14" s="54">
        <v>0</v>
      </c>
      <c r="Q14">
        <v>6</v>
      </c>
      <c r="R14">
        <v>3</v>
      </c>
      <c r="S14">
        <v>16</v>
      </c>
      <c r="T14">
        <v>12</v>
      </c>
      <c r="U14">
        <v>4</v>
      </c>
      <c r="V14">
        <v>1</v>
      </c>
      <c r="W14" t="s">
        <v>1304</v>
      </c>
      <c r="X14" t="s">
        <v>1305</v>
      </c>
      <c r="Y14">
        <v>15921</v>
      </c>
      <c r="AA14">
        <v>0</v>
      </c>
      <c r="AB14">
        <v>0</v>
      </c>
      <c r="AC14">
        <v>0</v>
      </c>
      <c r="AD14">
        <v>0</v>
      </c>
      <c r="AE14">
        <v>0</v>
      </c>
      <c r="AF14">
        <v>2</v>
      </c>
      <c r="AG14">
        <v>0</v>
      </c>
      <c r="AJ14" s="54"/>
      <c r="AK14" s="54"/>
      <c r="AL14" s="54"/>
      <c r="AO14">
        <v>10000</v>
      </c>
      <c r="AP14" t="s">
        <v>1306</v>
      </c>
      <c r="AS14" t="s">
        <v>1266</v>
      </c>
      <c r="AT14">
        <v>1</v>
      </c>
      <c r="AV14">
        <v>11970</v>
      </c>
      <c r="AW14">
        <v>7960</v>
      </c>
      <c r="AX14">
        <v>3950</v>
      </c>
      <c r="AY14" t="s">
        <v>1258</v>
      </c>
      <c r="AZ14" t="s">
        <v>1258</v>
      </c>
      <c r="BA14">
        <v>11970</v>
      </c>
      <c r="BE14">
        <v>7700</v>
      </c>
      <c r="BF14">
        <v>0.36</v>
      </c>
      <c r="BG14">
        <v>0</v>
      </c>
      <c r="BH14">
        <v>0</v>
      </c>
      <c r="BI14">
        <v>0</v>
      </c>
      <c r="BJ14">
        <v>0</v>
      </c>
      <c r="BK14">
        <v>0</v>
      </c>
      <c r="BL14">
        <v>0</v>
      </c>
      <c r="BM14">
        <v>7700</v>
      </c>
      <c r="BN14">
        <v>0.36</v>
      </c>
      <c r="BO14">
        <v>0</v>
      </c>
      <c r="BP14">
        <v>0</v>
      </c>
      <c r="BR14">
        <v>0</v>
      </c>
      <c r="BS14">
        <v>2993</v>
      </c>
      <c r="BX14">
        <v>0</v>
      </c>
      <c r="BY14">
        <v>0</v>
      </c>
      <c r="BZ14">
        <v>0</v>
      </c>
      <c r="CA14">
        <v>-3</v>
      </c>
      <c r="CB14">
        <v>0</v>
      </c>
      <c r="CC14">
        <v>1</v>
      </c>
      <c r="CD14" s="54">
        <v>42095</v>
      </c>
      <c r="CE14" s="54">
        <v>42219</v>
      </c>
      <c r="CF14" s="54">
        <v>42219</v>
      </c>
      <c r="CG14" s="54">
        <v>42331</v>
      </c>
      <c r="CH14" s="54"/>
      <c r="CI14" s="54"/>
      <c r="CJ14">
        <v>0.21</v>
      </c>
      <c r="CK14">
        <v>7900</v>
      </c>
      <c r="CL14">
        <v>0.02</v>
      </c>
      <c r="CM14">
        <v>0</v>
      </c>
      <c r="CN14">
        <v>0.06</v>
      </c>
      <c r="CO14">
        <v>0.27</v>
      </c>
      <c r="CP14">
        <v>0.54</v>
      </c>
      <c r="CQ14" t="s">
        <v>1269</v>
      </c>
      <c r="CR14" t="s">
        <v>613</v>
      </c>
      <c r="CS14" t="s">
        <v>1307</v>
      </c>
      <c r="CT14" t="s">
        <v>1268</v>
      </c>
      <c r="CU14" t="s">
        <v>1308</v>
      </c>
      <c r="CV14" t="s">
        <v>1362</v>
      </c>
      <c r="CW14" t="s">
        <v>1359</v>
      </c>
      <c r="CX14" t="s">
        <v>1311</v>
      </c>
      <c r="DC14" t="s">
        <v>1318</v>
      </c>
      <c r="DE14" t="s">
        <v>1313</v>
      </c>
    </row>
    <row r="15" spans="1:110" x14ac:dyDescent="0.25">
      <c r="A15" t="s">
        <v>1027</v>
      </c>
      <c r="B15">
        <v>7</v>
      </c>
      <c r="C15" s="54">
        <v>42331</v>
      </c>
      <c r="D15" t="s">
        <v>1301</v>
      </c>
      <c r="E15" t="s">
        <v>1363</v>
      </c>
      <c r="G15" t="s">
        <v>361</v>
      </c>
      <c r="H15" t="s">
        <v>1256</v>
      </c>
      <c r="I15" t="s">
        <v>1256</v>
      </c>
      <c r="J15" t="s">
        <v>1256</v>
      </c>
      <c r="K15" t="s">
        <v>1256</v>
      </c>
      <c r="L15">
        <v>4.79</v>
      </c>
      <c r="M15">
        <v>0</v>
      </c>
      <c r="N15">
        <v>0</v>
      </c>
      <c r="O15" s="54">
        <v>0</v>
      </c>
      <c r="P15" s="54">
        <v>0</v>
      </c>
      <c r="Q15">
        <v>6</v>
      </c>
      <c r="R15">
        <v>3</v>
      </c>
      <c r="S15">
        <v>16</v>
      </c>
      <c r="T15">
        <v>12</v>
      </c>
      <c r="U15">
        <v>4</v>
      </c>
      <c r="V15">
        <v>1</v>
      </c>
      <c r="X15" t="s">
        <v>1305</v>
      </c>
      <c r="AA15">
        <v>0</v>
      </c>
      <c r="AB15">
        <v>0</v>
      </c>
      <c r="AC15">
        <v>0</v>
      </c>
      <c r="AD15">
        <v>0</v>
      </c>
      <c r="AE15">
        <v>0</v>
      </c>
      <c r="AF15">
        <v>0</v>
      </c>
      <c r="AG15">
        <v>0</v>
      </c>
      <c r="AJ15" s="54"/>
      <c r="AK15" s="54"/>
      <c r="AL15" s="54"/>
      <c r="AP15" t="s">
        <v>1306</v>
      </c>
      <c r="AS15" t="s">
        <v>1266</v>
      </c>
      <c r="AT15">
        <v>1</v>
      </c>
      <c r="AV15">
        <v>0</v>
      </c>
      <c r="AW15">
        <v>0</v>
      </c>
      <c r="AX15">
        <v>0</v>
      </c>
      <c r="AY15" t="s">
        <v>1265</v>
      </c>
      <c r="AZ15" t="s">
        <v>1265</v>
      </c>
      <c r="BA15">
        <v>0</v>
      </c>
      <c r="BE15">
        <v>0</v>
      </c>
      <c r="BF15">
        <v>0</v>
      </c>
      <c r="BG15">
        <v>0</v>
      </c>
      <c r="BH15">
        <v>0</v>
      </c>
      <c r="BI15">
        <v>0</v>
      </c>
      <c r="BJ15">
        <v>0</v>
      </c>
      <c r="BK15">
        <v>0</v>
      </c>
      <c r="BL15">
        <v>0</v>
      </c>
      <c r="BM15">
        <v>0</v>
      </c>
      <c r="BN15">
        <v>0</v>
      </c>
      <c r="BO15">
        <v>0</v>
      </c>
      <c r="BP15">
        <v>0</v>
      </c>
      <c r="BR15">
        <v>0</v>
      </c>
      <c r="BS15">
        <v>0</v>
      </c>
      <c r="BX15">
        <v>0</v>
      </c>
      <c r="BY15">
        <v>0</v>
      </c>
      <c r="BZ15">
        <v>0</v>
      </c>
      <c r="CA15">
        <v>0</v>
      </c>
      <c r="CB15">
        <v>0</v>
      </c>
      <c r="CC15">
        <v>1</v>
      </c>
      <c r="CD15" s="54">
        <v>42095</v>
      </c>
      <c r="CE15" s="54">
        <v>42219</v>
      </c>
      <c r="CF15" s="54">
        <v>42219</v>
      </c>
      <c r="CG15" s="54">
        <v>42331</v>
      </c>
      <c r="CH15" s="54"/>
      <c r="CI15" s="54"/>
      <c r="CJ15">
        <v>1.36</v>
      </c>
      <c r="CK15">
        <v>0</v>
      </c>
      <c r="CL15">
        <v>0.55000000000000004</v>
      </c>
      <c r="CM15">
        <v>0</v>
      </c>
      <c r="CN15">
        <v>0</v>
      </c>
      <c r="CO15">
        <v>0</v>
      </c>
      <c r="CP15">
        <v>0.33</v>
      </c>
      <c r="CQ15" t="s">
        <v>1269</v>
      </c>
      <c r="CR15" t="s">
        <v>613</v>
      </c>
      <c r="CS15" t="s">
        <v>1307</v>
      </c>
      <c r="CT15" t="s">
        <v>1268</v>
      </c>
      <c r="CU15" t="s">
        <v>1308</v>
      </c>
      <c r="CV15" t="s">
        <v>1364</v>
      </c>
      <c r="CW15" t="s">
        <v>1365</v>
      </c>
      <c r="CX15" t="s">
        <v>1311</v>
      </c>
      <c r="DC15" t="s">
        <v>1318</v>
      </c>
      <c r="DE15" t="s">
        <v>1313</v>
      </c>
    </row>
    <row r="16" spans="1:110" x14ac:dyDescent="0.25">
      <c r="A16" t="s">
        <v>1027</v>
      </c>
      <c r="B16">
        <v>7</v>
      </c>
      <c r="C16" s="54">
        <v>42331</v>
      </c>
      <c r="D16" t="s">
        <v>1301</v>
      </c>
      <c r="E16" t="s">
        <v>1366</v>
      </c>
      <c r="G16" t="s">
        <v>523</v>
      </c>
      <c r="H16" t="s">
        <v>1256</v>
      </c>
      <c r="I16" t="s">
        <v>1256</v>
      </c>
      <c r="J16" t="s">
        <v>1256</v>
      </c>
      <c r="K16" t="s">
        <v>1256</v>
      </c>
      <c r="L16">
        <v>0</v>
      </c>
      <c r="M16">
        <v>0</v>
      </c>
      <c r="N16">
        <v>0</v>
      </c>
      <c r="O16" s="54">
        <v>0</v>
      </c>
      <c r="P16" s="54">
        <v>0</v>
      </c>
      <c r="Q16">
        <v>6</v>
      </c>
      <c r="R16">
        <v>3</v>
      </c>
      <c r="S16">
        <v>16</v>
      </c>
      <c r="T16">
        <v>12</v>
      </c>
      <c r="U16">
        <v>4</v>
      </c>
      <c r="V16">
        <v>1</v>
      </c>
      <c r="X16" t="s">
        <v>1305</v>
      </c>
      <c r="AA16">
        <v>0</v>
      </c>
      <c r="AB16">
        <v>0</v>
      </c>
      <c r="AC16">
        <v>0</v>
      </c>
      <c r="AD16">
        <v>0</v>
      </c>
      <c r="AE16">
        <v>0</v>
      </c>
      <c r="AF16">
        <v>0</v>
      </c>
      <c r="AG16">
        <v>0</v>
      </c>
      <c r="AJ16" s="54"/>
      <c r="AK16" s="54"/>
      <c r="AL16" s="54"/>
      <c r="AP16" t="s">
        <v>1306</v>
      </c>
      <c r="AS16" t="s">
        <v>1266</v>
      </c>
      <c r="AT16">
        <v>1</v>
      </c>
      <c r="AV16">
        <v>0</v>
      </c>
      <c r="AW16">
        <v>0</v>
      </c>
      <c r="AX16">
        <v>0</v>
      </c>
      <c r="AY16" t="s">
        <v>1265</v>
      </c>
      <c r="AZ16" t="s">
        <v>1265</v>
      </c>
      <c r="BA16">
        <v>0</v>
      </c>
      <c r="BE16">
        <v>10000</v>
      </c>
      <c r="BF16">
        <v>0</v>
      </c>
      <c r="BG16">
        <v>0</v>
      </c>
      <c r="BH16">
        <v>0</v>
      </c>
      <c r="BI16">
        <v>0</v>
      </c>
      <c r="BJ16">
        <v>0</v>
      </c>
      <c r="BK16">
        <v>0</v>
      </c>
      <c r="BL16">
        <v>0</v>
      </c>
      <c r="BM16">
        <v>10000</v>
      </c>
      <c r="BN16">
        <v>0</v>
      </c>
      <c r="BO16">
        <v>0</v>
      </c>
      <c r="BP16">
        <v>0</v>
      </c>
      <c r="BR16">
        <v>0</v>
      </c>
      <c r="BS16">
        <v>0</v>
      </c>
      <c r="BX16">
        <v>0</v>
      </c>
      <c r="BY16">
        <v>0</v>
      </c>
      <c r="BZ16">
        <v>0</v>
      </c>
      <c r="CA16">
        <v>0</v>
      </c>
      <c r="CB16">
        <v>0</v>
      </c>
      <c r="CC16">
        <v>1</v>
      </c>
      <c r="CD16" s="54">
        <v>42095</v>
      </c>
      <c r="CE16" s="54">
        <v>42219</v>
      </c>
      <c r="CF16" s="54">
        <v>42219</v>
      </c>
      <c r="CG16" s="54">
        <v>42331</v>
      </c>
      <c r="CH16" s="54"/>
      <c r="CI16" s="54"/>
      <c r="CJ16">
        <v>0.15</v>
      </c>
      <c r="CK16">
        <v>0</v>
      </c>
      <c r="CL16">
        <v>0.02</v>
      </c>
      <c r="CM16">
        <v>0</v>
      </c>
      <c r="CN16">
        <v>0</v>
      </c>
      <c r="CO16">
        <v>0</v>
      </c>
      <c r="CP16">
        <v>0.86</v>
      </c>
      <c r="CQ16" t="s">
        <v>1269</v>
      </c>
      <c r="CR16" t="s">
        <v>613</v>
      </c>
      <c r="CS16" t="s">
        <v>1307</v>
      </c>
      <c r="CT16" t="s">
        <v>1268</v>
      </c>
      <c r="CU16" t="s">
        <v>1308</v>
      </c>
      <c r="CV16" t="s">
        <v>1367</v>
      </c>
      <c r="CW16" t="s">
        <v>1368</v>
      </c>
      <c r="CX16" t="s">
        <v>1311</v>
      </c>
      <c r="DC16" t="s">
        <v>1318</v>
      </c>
      <c r="DE16" t="s">
        <v>1313</v>
      </c>
    </row>
    <row r="17" spans="1:109" x14ac:dyDescent="0.25">
      <c r="A17" t="s">
        <v>1027</v>
      </c>
      <c r="B17">
        <v>7</v>
      </c>
      <c r="C17" s="54">
        <v>42331</v>
      </c>
      <c r="D17" t="s">
        <v>1301</v>
      </c>
      <c r="E17" t="s">
        <v>1275</v>
      </c>
      <c r="G17" t="s">
        <v>1369</v>
      </c>
      <c r="H17" t="s">
        <v>1256</v>
      </c>
      <c r="I17" t="s">
        <v>1256</v>
      </c>
      <c r="J17" t="s">
        <v>1256</v>
      </c>
      <c r="K17" t="s">
        <v>1256</v>
      </c>
      <c r="L17">
        <v>1.34</v>
      </c>
      <c r="M17">
        <v>0</v>
      </c>
      <c r="N17">
        <v>0</v>
      </c>
      <c r="O17" s="54">
        <v>0</v>
      </c>
      <c r="P17" s="54">
        <v>0</v>
      </c>
      <c r="Q17">
        <v>6</v>
      </c>
      <c r="R17">
        <v>3</v>
      </c>
      <c r="S17">
        <v>16</v>
      </c>
      <c r="T17">
        <v>12</v>
      </c>
      <c r="U17">
        <v>4</v>
      </c>
      <c r="V17">
        <v>1</v>
      </c>
      <c r="W17" t="s">
        <v>1304</v>
      </c>
      <c r="X17" t="s">
        <v>1305</v>
      </c>
      <c r="Y17">
        <v>12383</v>
      </c>
      <c r="AA17">
        <v>0</v>
      </c>
      <c r="AB17">
        <v>0</v>
      </c>
      <c r="AC17">
        <v>0</v>
      </c>
      <c r="AD17">
        <v>0</v>
      </c>
      <c r="AE17">
        <v>0</v>
      </c>
      <c r="AF17">
        <v>2</v>
      </c>
      <c r="AG17">
        <v>0</v>
      </c>
      <c r="AJ17" s="54"/>
      <c r="AK17" s="54"/>
      <c r="AL17" s="54"/>
      <c r="AP17" t="s">
        <v>1306</v>
      </c>
      <c r="AS17" t="s">
        <v>1266</v>
      </c>
      <c r="AT17">
        <v>1</v>
      </c>
      <c r="AV17">
        <v>9310</v>
      </c>
      <c r="AW17">
        <v>6191</v>
      </c>
      <c r="AX17">
        <v>3072</v>
      </c>
      <c r="AY17" t="s">
        <v>1258</v>
      </c>
      <c r="AZ17" t="s">
        <v>1258</v>
      </c>
      <c r="BA17">
        <v>9310</v>
      </c>
      <c r="BE17">
        <v>4729</v>
      </c>
      <c r="BF17">
        <v>0.49</v>
      </c>
      <c r="BG17">
        <v>0</v>
      </c>
      <c r="BH17">
        <v>0</v>
      </c>
      <c r="BI17">
        <v>0</v>
      </c>
      <c r="BJ17">
        <v>0</v>
      </c>
      <c r="BK17">
        <v>0</v>
      </c>
      <c r="BL17">
        <v>0</v>
      </c>
      <c r="BM17">
        <v>4729</v>
      </c>
      <c r="BN17">
        <v>0.49</v>
      </c>
      <c r="BO17">
        <v>0</v>
      </c>
      <c r="BP17">
        <v>0</v>
      </c>
      <c r="BR17">
        <v>4581</v>
      </c>
      <c r="BS17">
        <v>2328</v>
      </c>
      <c r="BX17">
        <v>0</v>
      </c>
      <c r="BY17">
        <v>0</v>
      </c>
      <c r="BZ17">
        <v>0</v>
      </c>
      <c r="CA17">
        <v>-3</v>
      </c>
      <c r="CB17">
        <v>0</v>
      </c>
      <c r="CC17">
        <v>1</v>
      </c>
      <c r="CD17" s="54">
        <v>42095</v>
      </c>
      <c r="CE17" s="54">
        <v>42219</v>
      </c>
      <c r="CF17" s="54">
        <v>42219</v>
      </c>
      <c r="CG17" s="54">
        <v>42331</v>
      </c>
      <c r="CH17" s="54"/>
      <c r="CI17" s="54"/>
      <c r="CJ17">
        <v>0.19</v>
      </c>
      <c r="CK17">
        <v>6144</v>
      </c>
      <c r="CL17">
        <v>0.02</v>
      </c>
      <c r="CM17">
        <v>0</v>
      </c>
      <c r="CN17">
        <v>0.55000000000000004</v>
      </c>
      <c r="CO17">
        <v>0.31</v>
      </c>
      <c r="CP17">
        <v>0</v>
      </c>
      <c r="CQ17" t="s">
        <v>1269</v>
      </c>
      <c r="CR17" t="s">
        <v>613</v>
      </c>
      <c r="CS17" t="s">
        <v>1307</v>
      </c>
      <c r="CT17" t="s">
        <v>1268</v>
      </c>
      <c r="CU17" t="s">
        <v>1308</v>
      </c>
      <c r="CV17" t="s">
        <v>1370</v>
      </c>
      <c r="CW17" t="s">
        <v>1368</v>
      </c>
      <c r="CX17" t="s">
        <v>1311</v>
      </c>
      <c r="DC17" t="s">
        <v>1318</v>
      </c>
      <c r="DE17" t="s">
        <v>1313</v>
      </c>
    </row>
    <row r="18" spans="1:109" x14ac:dyDescent="0.25">
      <c r="A18" t="s">
        <v>1027</v>
      </c>
      <c r="B18">
        <v>7</v>
      </c>
      <c r="C18" s="54">
        <v>42331</v>
      </c>
      <c r="D18" t="s">
        <v>1301</v>
      </c>
      <c r="E18" t="s">
        <v>1276</v>
      </c>
      <c r="G18" t="s">
        <v>1371</v>
      </c>
      <c r="H18" t="s">
        <v>1256</v>
      </c>
      <c r="I18" t="s">
        <v>1256</v>
      </c>
      <c r="J18" t="s">
        <v>1256</v>
      </c>
      <c r="K18" t="s">
        <v>1256</v>
      </c>
      <c r="L18">
        <v>684.87</v>
      </c>
      <c r="M18">
        <v>2000</v>
      </c>
      <c r="N18">
        <v>0</v>
      </c>
      <c r="O18" s="54">
        <v>0</v>
      </c>
      <c r="P18" s="54">
        <v>0</v>
      </c>
      <c r="Q18">
        <v>6</v>
      </c>
      <c r="R18">
        <v>3</v>
      </c>
      <c r="S18">
        <v>16</v>
      </c>
      <c r="T18">
        <v>12</v>
      </c>
      <c r="U18">
        <v>4</v>
      </c>
      <c r="V18">
        <v>1</v>
      </c>
      <c r="W18" t="s">
        <v>1257</v>
      </c>
      <c r="X18" t="s">
        <v>1315</v>
      </c>
      <c r="AA18">
        <v>0</v>
      </c>
      <c r="AB18">
        <v>0</v>
      </c>
      <c r="AC18">
        <v>0</v>
      </c>
      <c r="AD18">
        <v>0</v>
      </c>
      <c r="AE18">
        <v>0</v>
      </c>
      <c r="AF18">
        <v>2</v>
      </c>
      <c r="AG18">
        <v>0</v>
      </c>
      <c r="AJ18" s="54"/>
      <c r="AK18" s="54"/>
      <c r="AL18" s="54"/>
      <c r="AP18" t="s">
        <v>1306</v>
      </c>
      <c r="AS18" t="s">
        <v>1266</v>
      </c>
      <c r="AT18">
        <v>1</v>
      </c>
      <c r="AV18">
        <v>30</v>
      </c>
      <c r="AW18">
        <v>20</v>
      </c>
      <c r="AX18">
        <v>10</v>
      </c>
      <c r="AY18" t="s">
        <v>1258</v>
      </c>
      <c r="AZ18" t="s">
        <v>1258</v>
      </c>
      <c r="BA18">
        <v>47</v>
      </c>
      <c r="BE18">
        <v>12.37</v>
      </c>
      <c r="BF18">
        <v>0.59</v>
      </c>
      <c r="BG18">
        <v>5</v>
      </c>
      <c r="BH18">
        <v>0</v>
      </c>
      <c r="BI18">
        <v>0</v>
      </c>
      <c r="BJ18">
        <v>0</v>
      </c>
      <c r="BK18">
        <v>0</v>
      </c>
      <c r="BL18">
        <v>0</v>
      </c>
      <c r="BM18">
        <v>17.37</v>
      </c>
      <c r="BN18">
        <v>0.42</v>
      </c>
      <c r="BO18">
        <v>0</v>
      </c>
      <c r="BP18">
        <v>0</v>
      </c>
      <c r="BR18">
        <v>13</v>
      </c>
      <c r="BS18">
        <v>8</v>
      </c>
      <c r="BX18">
        <v>0</v>
      </c>
      <c r="BY18">
        <v>0</v>
      </c>
      <c r="BZ18">
        <v>0</v>
      </c>
      <c r="CA18">
        <v>5.76</v>
      </c>
      <c r="CB18">
        <v>0</v>
      </c>
      <c r="CC18">
        <v>1</v>
      </c>
      <c r="CD18" s="54">
        <v>42230</v>
      </c>
      <c r="CE18" s="54">
        <v>42230</v>
      </c>
      <c r="CF18" s="54">
        <v>42230</v>
      </c>
      <c r="CG18" s="54">
        <v>42342</v>
      </c>
      <c r="CH18" s="54"/>
      <c r="CI18" s="54"/>
      <c r="CJ18">
        <v>0.28999999999999998</v>
      </c>
      <c r="CK18">
        <v>0</v>
      </c>
      <c r="CL18">
        <v>0.01</v>
      </c>
      <c r="CM18">
        <v>0</v>
      </c>
      <c r="CN18">
        <v>0.52</v>
      </c>
      <c r="CO18">
        <v>0.3</v>
      </c>
      <c r="CP18">
        <v>0.04</v>
      </c>
      <c r="CQ18" t="s">
        <v>1269</v>
      </c>
      <c r="CR18" t="s">
        <v>613</v>
      </c>
      <c r="CS18" t="s">
        <v>1307</v>
      </c>
      <c r="CT18" t="s">
        <v>1268</v>
      </c>
      <c r="CU18" t="s">
        <v>1308</v>
      </c>
      <c r="CV18" t="s">
        <v>1372</v>
      </c>
      <c r="CW18" t="s">
        <v>1373</v>
      </c>
      <c r="CX18" t="s">
        <v>1311</v>
      </c>
      <c r="DC18" t="s">
        <v>1318</v>
      </c>
      <c r="DE18" t="s">
        <v>1313</v>
      </c>
    </row>
    <row r="19" spans="1:109" x14ac:dyDescent="0.25">
      <c r="A19" t="s">
        <v>1027</v>
      </c>
      <c r="B19">
        <v>7</v>
      </c>
      <c r="C19" s="54">
        <v>42331</v>
      </c>
      <c r="D19" t="s">
        <v>1301</v>
      </c>
      <c r="E19" t="s">
        <v>1277</v>
      </c>
      <c r="G19" t="s">
        <v>600</v>
      </c>
      <c r="H19" t="s">
        <v>1256</v>
      </c>
      <c r="I19" t="s">
        <v>1256</v>
      </c>
      <c r="J19" t="s">
        <v>1256</v>
      </c>
      <c r="K19" t="s">
        <v>1256</v>
      </c>
      <c r="L19">
        <v>30.24</v>
      </c>
      <c r="M19">
        <v>0</v>
      </c>
      <c r="N19">
        <v>0</v>
      </c>
      <c r="O19" s="54">
        <v>0</v>
      </c>
      <c r="P19" s="54">
        <v>0</v>
      </c>
      <c r="Q19">
        <v>6</v>
      </c>
      <c r="R19">
        <v>3</v>
      </c>
      <c r="S19">
        <v>16</v>
      </c>
      <c r="T19">
        <v>12</v>
      </c>
      <c r="U19">
        <v>4</v>
      </c>
      <c r="V19">
        <v>1</v>
      </c>
      <c r="W19" t="s">
        <v>1304</v>
      </c>
      <c r="X19" t="s">
        <v>1305</v>
      </c>
      <c r="Y19">
        <v>708</v>
      </c>
      <c r="AA19">
        <v>0</v>
      </c>
      <c r="AB19">
        <v>0</v>
      </c>
      <c r="AC19">
        <v>0</v>
      </c>
      <c r="AD19">
        <v>0</v>
      </c>
      <c r="AE19">
        <v>0</v>
      </c>
      <c r="AF19">
        <v>46</v>
      </c>
      <c r="AG19">
        <v>0</v>
      </c>
      <c r="AJ19" s="54"/>
      <c r="AK19" s="54"/>
      <c r="AL19" s="54"/>
      <c r="AP19" t="s">
        <v>1306</v>
      </c>
      <c r="AS19" t="s">
        <v>1266</v>
      </c>
      <c r="AT19">
        <v>1</v>
      </c>
      <c r="AV19">
        <v>532</v>
      </c>
      <c r="AW19">
        <v>354</v>
      </c>
      <c r="AX19">
        <v>176</v>
      </c>
      <c r="AY19" t="s">
        <v>1259</v>
      </c>
      <c r="AZ19" t="s">
        <v>1258</v>
      </c>
      <c r="BA19">
        <v>532</v>
      </c>
      <c r="BE19">
        <v>40</v>
      </c>
      <c r="BF19">
        <v>0.92</v>
      </c>
      <c r="BG19">
        <v>200</v>
      </c>
      <c r="BH19">
        <v>0</v>
      </c>
      <c r="BI19">
        <v>0</v>
      </c>
      <c r="BJ19">
        <v>0</v>
      </c>
      <c r="BK19">
        <v>0</v>
      </c>
      <c r="BL19">
        <v>0</v>
      </c>
      <c r="BM19">
        <v>240</v>
      </c>
      <c r="BN19">
        <v>0.55000000000000004</v>
      </c>
      <c r="BO19">
        <v>0</v>
      </c>
      <c r="BP19">
        <v>0</v>
      </c>
      <c r="BR19">
        <v>292</v>
      </c>
      <c r="BS19">
        <v>133</v>
      </c>
      <c r="BX19">
        <v>-4112.6400000000003</v>
      </c>
      <c r="BY19">
        <v>0</v>
      </c>
      <c r="BZ19">
        <v>0</v>
      </c>
      <c r="CA19">
        <v>-3</v>
      </c>
      <c r="CB19">
        <v>0</v>
      </c>
      <c r="CC19">
        <v>1</v>
      </c>
      <c r="CD19" s="54">
        <v>42095</v>
      </c>
      <c r="CE19" s="54">
        <v>42219</v>
      </c>
      <c r="CF19" s="54">
        <v>42219</v>
      </c>
      <c r="CG19" s="54">
        <v>42331</v>
      </c>
      <c r="CH19" s="54"/>
      <c r="CI19" s="54"/>
      <c r="CJ19">
        <v>1.05</v>
      </c>
      <c r="CK19">
        <v>11092</v>
      </c>
      <c r="CL19">
        <v>0.38</v>
      </c>
      <c r="CM19">
        <v>0.5</v>
      </c>
      <c r="CN19">
        <v>0</v>
      </c>
      <c r="CO19">
        <v>0</v>
      </c>
      <c r="CP19">
        <v>0</v>
      </c>
      <c r="CQ19" t="s">
        <v>1269</v>
      </c>
      <c r="CR19" t="s">
        <v>613</v>
      </c>
      <c r="CS19" t="s">
        <v>1307</v>
      </c>
      <c r="CT19" t="s">
        <v>1268</v>
      </c>
      <c r="CU19" t="s">
        <v>1308</v>
      </c>
      <c r="CV19" t="s">
        <v>1374</v>
      </c>
      <c r="CW19" t="s">
        <v>1375</v>
      </c>
      <c r="CX19" t="s">
        <v>1311</v>
      </c>
      <c r="DC19" t="s">
        <v>1318</v>
      </c>
      <c r="DE19" t="s">
        <v>1313</v>
      </c>
    </row>
    <row r="20" spans="1:109" x14ac:dyDescent="0.25">
      <c r="A20" t="s">
        <v>1027</v>
      </c>
      <c r="B20">
        <v>7</v>
      </c>
      <c r="C20" s="54">
        <v>42331</v>
      </c>
      <c r="D20" t="s">
        <v>1301</v>
      </c>
      <c r="E20" t="s">
        <v>1376</v>
      </c>
      <c r="G20" t="s">
        <v>242</v>
      </c>
      <c r="H20" t="s">
        <v>1256</v>
      </c>
      <c r="I20" t="s">
        <v>1256</v>
      </c>
      <c r="J20" t="s">
        <v>1256</v>
      </c>
      <c r="K20" t="s">
        <v>1256</v>
      </c>
      <c r="L20">
        <v>0.2</v>
      </c>
      <c r="M20">
        <v>0</v>
      </c>
      <c r="N20">
        <v>0</v>
      </c>
      <c r="O20" s="54">
        <v>0</v>
      </c>
      <c r="P20" s="54">
        <v>0</v>
      </c>
      <c r="Q20">
        <v>6</v>
      </c>
      <c r="R20">
        <v>3</v>
      </c>
      <c r="S20">
        <v>16</v>
      </c>
      <c r="T20">
        <v>12</v>
      </c>
      <c r="U20">
        <v>4</v>
      </c>
      <c r="V20">
        <v>1</v>
      </c>
      <c r="X20" t="s">
        <v>1305</v>
      </c>
      <c r="AA20">
        <v>0</v>
      </c>
      <c r="AB20">
        <v>0</v>
      </c>
      <c r="AC20">
        <v>0</v>
      </c>
      <c r="AD20">
        <v>0</v>
      </c>
      <c r="AE20">
        <v>0</v>
      </c>
      <c r="AF20">
        <v>0</v>
      </c>
      <c r="AG20">
        <v>0</v>
      </c>
      <c r="AJ20" s="54"/>
      <c r="AK20" s="54"/>
      <c r="AL20" s="54"/>
      <c r="AP20" t="s">
        <v>1306</v>
      </c>
      <c r="AS20" t="s">
        <v>1266</v>
      </c>
      <c r="AT20">
        <v>1</v>
      </c>
      <c r="AV20">
        <v>0</v>
      </c>
      <c r="AW20">
        <v>0</v>
      </c>
      <c r="AX20">
        <v>0</v>
      </c>
      <c r="AY20" t="s">
        <v>1265</v>
      </c>
      <c r="AZ20" t="s">
        <v>1265</v>
      </c>
      <c r="BA20">
        <v>0</v>
      </c>
      <c r="BE20">
        <v>0</v>
      </c>
      <c r="BF20">
        <v>0</v>
      </c>
      <c r="BG20">
        <v>0</v>
      </c>
      <c r="BH20">
        <v>0</v>
      </c>
      <c r="BI20">
        <v>0</v>
      </c>
      <c r="BJ20">
        <v>0</v>
      </c>
      <c r="BK20">
        <v>0</v>
      </c>
      <c r="BL20">
        <v>0</v>
      </c>
      <c r="BM20">
        <v>0</v>
      </c>
      <c r="BN20">
        <v>0</v>
      </c>
      <c r="BO20">
        <v>0</v>
      </c>
      <c r="BP20">
        <v>0</v>
      </c>
      <c r="BR20">
        <v>0</v>
      </c>
      <c r="BS20">
        <v>0</v>
      </c>
      <c r="BX20">
        <v>0</v>
      </c>
      <c r="BY20">
        <v>0</v>
      </c>
      <c r="BZ20">
        <v>0</v>
      </c>
      <c r="CA20">
        <v>0</v>
      </c>
      <c r="CB20">
        <v>0</v>
      </c>
      <c r="CC20">
        <v>1</v>
      </c>
      <c r="CD20" s="54">
        <v>42095</v>
      </c>
      <c r="CE20" s="54">
        <v>42219</v>
      </c>
      <c r="CF20" s="54">
        <v>42219</v>
      </c>
      <c r="CG20" s="54">
        <v>42331</v>
      </c>
      <c r="CH20" s="54"/>
      <c r="CI20" s="54"/>
      <c r="CJ20">
        <v>1</v>
      </c>
      <c r="CK20">
        <v>0</v>
      </c>
      <c r="CL20">
        <v>0.88</v>
      </c>
      <c r="CM20">
        <v>0</v>
      </c>
      <c r="CN20">
        <v>0</v>
      </c>
      <c r="CO20">
        <v>0</v>
      </c>
      <c r="CP20">
        <v>0</v>
      </c>
      <c r="CQ20" t="s">
        <v>1269</v>
      </c>
      <c r="CR20" t="s">
        <v>613</v>
      </c>
      <c r="CS20" t="s">
        <v>1307</v>
      </c>
      <c r="CT20" t="s">
        <v>1268</v>
      </c>
      <c r="CU20" t="s">
        <v>1308</v>
      </c>
      <c r="CV20" t="s">
        <v>1377</v>
      </c>
      <c r="CW20" t="s">
        <v>613</v>
      </c>
      <c r="CX20" t="s">
        <v>1378</v>
      </c>
      <c r="DC20" t="s">
        <v>1379</v>
      </c>
      <c r="DE20" t="s">
        <v>1380</v>
      </c>
    </row>
    <row r="21" spans="1:109" x14ac:dyDescent="0.25">
      <c r="A21" t="s">
        <v>1027</v>
      </c>
      <c r="B21">
        <v>7</v>
      </c>
      <c r="C21" s="54">
        <v>42331</v>
      </c>
      <c r="D21" t="s">
        <v>1301</v>
      </c>
      <c r="E21" t="s">
        <v>1381</v>
      </c>
      <c r="G21" t="s">
        <v>1382</v>
      </c>
      <c r="H21" t="s">
        <v>1256</v>
      </c>
      <c r="I21" t="s">
        <v>1256</v>
      </c>
      <c r="J21" t="s">
        <v>1256</v>
      </c>
      <c r="K21" t="s">
        <v>1256</v>
      </c>
      <c r="L21">
        <v>0.15</v>
      </c>
      <c r="M21">
        <v>0</v>
      </c>
      <c r="N21">
        <v>0</v>
      </c>
      <c r="O21" s="54">
        <v>0</v>
      </c>
      <c r="P21" s="54">
        <v>0</v>
      </c>
      <c r="Q21">
        <v>6</v>
      </c>
      <c r="R21">
        <v>3</v>
      </c>
      <c r="S21">
        <v>16</v>
      </c>
      <c r="T21">
        <v>12</v>
      </c>
      <c r="U21">
        <v>4</v>
      </c>
      <c r="V21">
        <v>1</v>
      </c>
      <c r="X21" t="s">
        <v>1305</v>
      </c>
      <c r="AA21">
        <v>0</v>
      </c>
      <c r="AB21">
        <v>0</v>
      </c>
      <c r="AC21">
        <v>0</v>
      </c>
      <c r="AD21">
        <v>0</v>
      </c>
      <c r="AE21">
        <v>0</v>
      </c>
      <c r="AF21">
        <v>0</v>
      </c>
      <c r="AG21">
        <v>0</v>
      </c>
      <c r="AJ21" s="54"/>
      <c r="AK21" s="54"/>
      <c r="AL21" s="54"/>
      <c r="AP21" t="s">
        <v>1306</v>
      </c>
      <c r="AS21" t="s">
        <v>1266</v>
      </c>
      <c r="AT21">
        <v>1</v>
      </c>
      <c r="AV21">
        <v>0</v>
      </c>
      <c r="AW21">
        <v>0</v>
      </c>
      <c r="AX21">
        <v>0</v>
      </c>
      <c r="AY21" t="s">
        <v>1265</v>
      </c>
      <c r="AZ21" t="s">
        <v>1265</v>
      </c>
      <c r="BA21">
        <v>0</v>
      </c>
      <c r="BE21">
        <v>0</v>
      </c>
      <c r="BF21">
        <v>0</v>
      </c>
      <c r="BG21">
        <v>0</v>
      </c>
      <c r="BH21">
        <v>0</v>
      </c>
      <c r="BI21">
        <v>0</v>
      </c>
      <c r="BJ21">
        <v>0</v>
      </c>
      <c r="BK21">
        <v>0</v>
      </c>
      <c r="BL21">
        <v>0</v>
      </c>
      <c r="BM21">
        <v>0</v>
      </c>
      <c r="BN21">
        <v>0</v>
      </c>
      <c r="BO21">
        <v>0</v>
      </c>
      <c r="BP21">
        <v>0</v>
      </c>
      <c r="BR21">
        <v>0</v>
      </c>
      <c r="BS21">
        <v>0</v>
      </c>
      <c r="BX21">
        <v>0</v>
      </c>
      <c r="BY21">
        <v>0</v>
      </c>
      <c r="BZ21">
        <v>0</v>
      </c>
      <c r="CA21">
        <v>0</v>
      </c>
      <c r="CB21">
        <v>0</v>
      </c>
      <c r="CC21">
        <v>1</v>
      </c>
      <c r="CD21" s="54">
        <v>42095</v>
      </c>
      <c r="CE21" s="54">
        <v>42219</v>
      </c>
      <c r="CF21" s="54">
        <v>42219</v>
      </c>
      <c r="CG21" s="54">
        <v>42331</v>
      </c>
      <c r="CH21" s="54"/>
      <c r="CI21" s="54"/>
      <c r="CJ21">
        <v>1</v>
      </c>
      <c r="CK21">
        <v>0</v>
      </c>
      <c r="CL21">
        <v>0.88</v>
      </c>
      <c r="CM21">
        <v>0</v>
      </c>
      <c r="CN21">
        <v>0</v>
      </c>
      <c r="CO21">
        <v>0</v>
      </c>
      <c r="CP21">
        <v>0</v>
      </c>
      <c r="CQ21" t="s">
        <v>1269</v>
      </c>
      <c r="CR21" t="s">
        <v>613</v>
      </c>
      <c r="CS21" t="s">
        <v>1307</v>
      </c>
      <c r="CT21" t="s">
        <v>1268</v>
      </c>
      <c r="CU21" t="s">
        <v>1308</v>
      </c>
      <c r="CV21" t="s">
        <v>1383</v>
      </c>
      <c r="CW21" t="s">
        <v>613</v>
      </c>
      <c r="CX21" t="s">
        <v>1378</v>
      </c>
      <c r="DC21" t="s">
        <v>1379</v>
      </c>
      <c r="DE21" t="s">
        <v>1313</v>
      </c>
    </row>
    <row r="22" spans="1:109" x14ac:dyDescent="0.25">
      <c r="A22" t="s">
        <v>1027</v>
      </c>
      <c r="B22">
        <v>7</v>
      </c>
      <c r="C22" s="54">
        <v>42331</v>
      </c>
      <c r="D22" t="s">
        <v>1301</v>
      </c>
      <c r="E22" t="s">
        <v>1384</v>
      </c>
      <c r="G22" t="s">
        <v>1385</v>
      </c>
      <c r="H22" t="s">
        <v>1256</v>
      </c>
      <c r="I22" t="s">
        <v>1256</v>
      </c>
      <c r="J22" t="s">
        <v>1256</v>
      </c>
      <c r="K22" t="s">
        <v>1256</v>
      </c>
      <c r="L22">
        <v>0.16</v>
      </c>
      <c r="M22">
        <v>0</v>
      </c>
      <c r="N22">
        <v>0</v>
      </c>
      <c r="O22" s="54">
        <v>0</v>
      </c>
      <c r="P22" s="54">
        <v>0</v>
      </c>
      <c r="Q22">
        <v>6</v>
      </c>
      <c r="R22">
        <v>3</v>
      </c>
      <c r="S22">
        <v>16</v>
      </c>
      <c r="T22">
        <v>12</v>
      </c>
      <c r="U22">
        <v>4</v>
      </c>
      <c r="V22">
        <v>1</v>
      </c>
      <c r="X22" t="s">
        <v>1305</v>
      </c>
      <c r="AA22">
        <v>0</v>
      </c>
      <c r="AB22">
        <v>0</v>
      </c>
      <c r="AC22">
        <v>0</v>
      </c>
      <c r="AD22">
        <v>0</v>
      </c>
      <c r="AE22">
        <v>0</v>
      </c>
      <c r="AF22">
        <v>0</v>
      </c>
      <c r="AG22">
        <v>0</v>
      </c>
      <c r="AJ22" s="54"/>
      <c r="AK22" s="54"/>
      <c r="AL22" s="54"/>
      <c r="AP22" t="s">
        <v>1306</v>
      </c>
      <c r="AS22" t="s">
        <v>1266</v>
      </c>
      <c r="AT22">
        <v>1</v>
      </c>
      <c r="AV22">
        <v>0</v>
      </c>
      <c r="AW22">
        <v>0</v>
      </c>
      <c r="AX22">
        <v>0</v>
      </c>
      <c r="AY22" t="s">
        <v>1265</v>
      </c>
      <c r="AZ22" t="s">
        <v>1265</v>
      </c>
      <c r="BA22">
        <v>0</v>
      </c>
      <c r="BE22">
        <v>4997</v>
      </c>
      <c r="BF22">
        <v>0</v>
      </c>
      <c r="BG22">
        <v>0</v>
      </c>
      <c r="BH22">
        <v>0</v>
      </c>
      <c r="BI22">
        <v>0</v>
      </c>
      <c r="BJ22">
        <v>0</v>
      </c>
      <c r="BK22">
        <v>0</v>
      </c>
      <c r="BL22">
        <v>0</v>
      </c>
      <c r="BM22">
        <v>4997</v>
      </c>
      <c r="BN22">
        <v>0</v>
      </c>
      <c r="BO22">
        <v>0</v>
      </c>
      <c r="BP22">
        <v>0</v>
      </c>
      <c r="BR22">
        <v>0</v>
      </c>
      <c r="BS22">
        <v>0</v>
      </c>
      <c r="BX22">
        <v>0</v>
      </c>
      <c r="BY22">
        <v>0</v>
      </c>
      <c r="BZ22">
        <v>0</v>
      </c>
      <c r="CA22">
        <v>0</v>
      </c>
      <c r="CB22">
        <v>0</v>
      </c>
      <c r="CC22">
        <v>1</v>
      </c>
      <c r="CD22" s="54">
        <v>42095</v>
      </c>
      <c r="CE22" s="54">
        <v>42219</v>
      </c>
      <c r="CF22" s="54">
        <v>42219</v>
      </c>
      <c r="CG22" s="54">
        <v>42331</v>
      </c>
      <c r="CH22" s="54"/>
      <c r="CI22" s="54"/>
      <c r="CJ22">
        <v>0.15</v>
      </c>
      <c r="CK22">
        <v>0</v>
      </c>
      <c r="CL22">
        <v>0.02</v>
      </c>
      <c r="CM22">
        <v>0</v>
      </c>
      <c r="CN22">
        <v>0</v>
      </c>
      <c r="CO22">
        <v>0</v>
      </c>
      <c r="CP22">
        <v>0.86</v>
      </c>
      <c r="CQ22" t="s">
        <v>1269</v>
      </c>
      <c r="CR22" t="s">
        <v>613</v>
      </c>
      <c r="CS22" t="s">
        <v>1307</v>
      </c>
      <c r="CT22" t="s">
        <v>1268</v>
      </c>
      <c r="CU22" t="s">
        <v>1308</v>
      </c>
      <c r="CV22" t="s">
        <v>1386</v>
      </c>
      <c r="CW22" t="s">
        <v>1387</v>
      </c>
      <c r="CX22" t="s">
        <v>1378</v>
      </c>
      <c r="DC22" t="s">
        <v>1379</v>
      </c>
      <c r="DE22" t="s">
        <v>1380</v>
      </c>
    </row>
    <row r="23" spans="1:109" x14ac:dyDescent="0.25">
      <c r="A23" t="s">
        <v>1027</v>
      </c>
      <c r="B23">
        <v>7</v>
      </c>
      <c r="C23" s="54">
        <v>42331</v>
      </c>
      <c r="D23" t="s">
        <v>1301</v>
      </c>
      <c r="E23" t="s">
        <v>1278</v>
      </c>
      <c r="G23" t="s">
        <v>1388</v>
      </c>
      <c r="H23" t="s">
        <v>1256</v>
      </c>
      <c r="I23" t="s">
        <v>1256</v>
      </c>
      <c r="J23" t="s">
        <v>1256</v>
      </c>
      <c r="K23" t="s">
        <v>1256</v>
      </c>
      <c r="L23">
        <v>1.08</v>
      </c>
      <c r="M23">
        <v>0</v>
      </c>
      <c r="N23">
        <v>0</v>
      </c>
      <c r="O23" s="54">
        <v>0</v>
      </c>
      <c r="P23" s="54">
        <v>0</v>
      </c>
      <c r="Q23">
        <v>6</v>
      </c>
      <c r="R23">
        <v>3</v>
      </c>
      <c r="S23">
        <v>16</v>
      </c>
      <c r="T23">
        <v>12</v>
      </c>
      <c r="U23">
        <v>4</v>
      </c>
      <c r="V23">
        <v>1</v>
      </c>
      <c r="W23" t="s">
        <v>1304</v>
      </c>
      <c r="X23" t="s">
        <v>1305</v>
      </c>
      <c r="Y23">
        <v>5320</v>
      </c>
      <c r="AA23">
        <v>0</v>
      </c>
      <c r="AB23">
        <v>0</v>
      </c>
      <c r="AC23">
        <v>0</v>
      </c>
      <c r="AD23">
        <v>0</v>
      </c>
      <c r="AE23">
        <v>0</v>
      </c>
      <c r="AF23">
        <v>2</v>
      </c>
      <c r="AG23">
        <v>0</v>
      </c>
      <c r="AJ23" s="54"/>
      <c r="AK23" s="54"/>
      <c r="AL23" s="54"/>
      <c r="AP23" t="s">
        <v>1306</v>
      </c>
      <c r="AS23" t="s">
        <v>1266</v>
      </c>
      <c r="AT23">
        <v>1</v>
      </c>
      <c r="AV23">
        <v>4000</v>
      </c>
      <c r="AW23">
        <v>2660</v>
      </c>
      <c r="AX23">
        <v>1320</v>
      </c>
      <c r="AY23" t="s">
        <v>1261</v>
      </c>
      <c r="AZ23" t="s">
        <v>1261</v>
      </c>
      <c r="BA23">
        <v>4000</v>
      </c>
      <c r="BE23">
        <v>2822</v>
      </c>
      <c r="BF23">
        <v>0.28999999999999998</v>
      </c>
      <c r="BG23">
        <v>0</v>
      </c>
      <c r="BH23">
        <v>0</v>
      </c>
      <c r="BI23">
        <v>0</v>
      </c>
      <c r="BJ23">
        <v>0</v>
      </c>
      <c r="BK23">
        <v>0</v>
      </c>
      <c r="BL23">
        <v>0</v>
      </c>
      <c r="BM23">
        <v>2822</v>
      </c>
      <c r="BN23">
        <v>0.28999999999999998</v>
      </c>
      <c r="BO23">
        <v>0</v>
      </c>
      <c r="BP23">
        <v>0</v>
      </c>
      <c r="BR23">
        <v>1178</v>
      </c>
      <c r="BS23">
        <v>1000</v>
      </c>
      <c r="BX23">
        <v>0</v>
      </c>
      <c r="BY23">
        <v>0</v>
      </c>
      <c r="BZ23">
        <v>0</v>
      </c>
      <c r="CA23">
        <v>-3</v>
      </c>
      <c r="CB23">
        <v>0</v>
      </c>
      <c r="CC23">
        <v>1</v>
      </c>
      <c r="CD23" s="54">
        <v>42095</v>
      </c>
      <c r="CE23" s="54">
        <v>42219</v>
      </c>
      <c r="CF23" s="54">
        <v>42219</v>
      </c>
      <c r="CG23" s="54">
        <v>42331</v>
      </c>
      <c r="CH23" s="54"/>
      <c r="CI23" s="54"/>
      <c r="CJ23">
        <v>0.15</v>
      </c>
      <c r="CK23">
        <v>2640</v>
      </c>
      <c r="CL23">
        <v>0.02</v>
      </c>
      <c r="CM23">
        <v>0</v>
      </c>
      <c r="CN23">
        <v>0</v>
      </c>
      <c r="CO23">
        <v>0.86</v>
      </c>
      <c r="CP23">
        <v>0</v>
      </c>
      <c r="CQ23" t="s">
        <v>1269</v>
      </c>
      <c r="CR23" t="s">
        <v>613</v>
      </c>
      <c r="CS23" t="s">
        <v>1307</v>
      </c>
      <c r="CT23" t="s">
        <v>1268</v>
      </c>
      <c r="CU23" t="s">
        <v>1308</v>
      </c>
      <c r="CV23" t="s">
        <v>1389</v>
      </c>
      <c r="CW23" t="s">
        <v>1390</v>
      </c>
      <c r="CX23" t="s">
        <v>1378</v>
      </c>
      <c r="DC23" t="s">
        <v>1391</v>
      </c>
      <c r="DE23" t="s">
        <v>1313</v>
      </c>
    </row>
    <row r="24" spans="1:109" x14ac:dyDescent="0.25">
      <c r="A24" t="s">
        <v>1027</v>
      </c>
      <c r="B24">
        <v>7</v>
      </c>
      <c r="C24" s="54">
        <v>42331</v>
      </c>
      <c r="D24" t="s">
        <v>1301</v>
      </c>
      <c r="E24" t="s">
        <v>1279</v>
      </c>
      <c r="G24" t="s">
        <v>1392</v>
      </c>
      <c r="H24" t="s">
        <v>1256</v>
      </c>
      <c r="I24" t="s">
        <v>1256</v>
      </c>
      <c r="J24" t="s">
        <v>1256</v>
      </c>
      <c r="K24" t="s">
        <v>1256</v>
      </c>
      <c r="L24">
        <v>0.17</v>
      </c>
      <c r="M24">
        <v>0</v>
      </c>
      <c r="N24">
        <v>0</v>
      </c>
      <c r="O24" s="54">
        <v>0</v>
      </c>
      <c r="P24" s="54">
        <v>0</v>
      </c>
      <c r="Q24">
        <v>6</v>
      </c>
      <c r="R24">
        <v>3</v>
      </c>
      <c r="S24">
        <v>16</v>
      </c>
      <c r="T24">
        <v>12</v>
      </c>
      <c r="U24">
        <v>4</v>
      </c>
      <c r="V24">
        <v>1</v>
      </c>
      <c r="W24" t="s">
        <v>1304</v>
      </c>
      <c r="X24" t="s">
        <v>1305</v>
      </c>
      <c r="Y24">
        <v>6650</v>
      </c>
      <c r="AA24">
        <v>0</v>
      </c>
      <c r="AB24">
        <v>0</v>
      </c>
      <c r="AC24">
        <v>0</v>
      </c>
      <c r="AD24">
        <v>0</v>
      </c>
      <c r="AE24">
        <v>0</v>
      </c>
      <c r="AF24">
        <v>2</v>
      </c>
      <c r="AG24">
        <v>0</v>
      </c>
      <c r="AJ24" s="54"/>
      <c r="AK24" s="54"/>
      <c r="AL24" s="54"/>
      <c r="AP24" t="s">
        <v>1306</v>
      </c>
      <c r="AS24" t="s">
        <v>1266</v>
      </c>
      <c r="AT24">
        <v>1</v>
      </c>
      <c r="AV24">
        <v>5000</v>
      </c>
      <c r="AW24">
        <v>3325</v>
      </c>
      <c r="AX24">
        <v>1650</v>
      </c>
      <c r="AY24" t="s">
        <v>1259</v>
      </c>
      <c r="AZ24" t="s">
        <v>1259</v>
      </c>
      <c r="BA24">
        <v>5000</v>
      </c>
      <c r="BE24">
        <v>609</v>
      </c>
      <c r="BF24">
        <v>0.88</v>
      </c>
      <c r="BG24">
        <v>0</v>
      </c>
      <c r="BH24">
        <v>0</v>
      </c>
      <c r="BI24">
        <v>0</v>
      </c>
      <c r="BJ24">
        <v>0</v>
      </c>
      <c r="BK24">
        <v>0</v>
      </c>
      <c r="BL24">
        <v>0</v>
      </c>
      <c r="BM24">
        <v>609</v>
      </c>
      <c r="BN24">
        <v>0.88</v>
      </c>
      <c r="BO24">
        <v>0</v>
      </c>
      <c r="BP24">
        <v>0</v>
      </c>
      <c r="BR24">
        <v>4391</v>
      </c>
      <c r="BS24">
        <v>1250</v>
      </c>
      <c r="BT24">
        <v>5000</v>
      </c>
      <c r="BX24">
        <v>-176.97</v>
      </c>
      <c r="BY24">
        <v>0</v>
      </c>
      <c r="BZ24">
        <v>0</v>
      </c>
      <c r="CA24">
        <v>-3</v>
      </c>
      <c r="CB24">
        <v>0</v>
      </c>
      <c r="CC24">
        <v>1</v>
      </c>
      <c r="CD24" s="54">
        <v>42095</v>
      </c>
      <c r="CE24" s="54">
        <v>42219</v>
      </c>
      <c r="CF24" s="54">
        <v>42219</v>
      </c>
      <c r="CG24" s="54">
        <v>42331</v>
      </c>
      <c r="CH24" s="54"/>
      <c r="CI24" s="54"/>
      <c r="CJ24">
        <v>0.34</v>
      </c>
      <c r="CK24">
        <v>81076</v>
      </c>
      <c r="CL24">
        <v>0.02</v>
      </c>
      <c r="CM24">
        <v>0.86</v>
      </c>
      <c r="CN24">
        <v>0</v>
      </c>
      <c r="CO24">
        <v>0</v>
      </c>
      <c r="CP24">
        <v>0</v>
      </c>
      <c r="CQ24" t="s">
        <v>1269</v>
      </c>
      <c r="CR24" t="s">
        <v>613</v>
      </c>
      <c r="CS24" t="s">
        <v>1307</v>
      </c>
      <c r="CT24" t="s">
        <v>1268</v>
      </c>
      <c r="CU24" t="s">
        <v>1308</v>
      </c>
      <c r="CV24" t="s">
        <v>1393</v>
      </c>
      <c r="CW24" t="s">
        <v>613</v>
      </c>
      <c r="CX24" t="s">
        <v>1378</v>
      </c>
      <c r="DC24" t="s">
        <v>1379</v>
      </c>
      <c r="DE24" t="s">
        <v>1380</v>
      </c>
    </row>
    <row r="25" spans="1:109" x14ac:dyDescent="0.25">
      <c r="A25" t="s">
        <v>1027</v>
      </c>
      <c r="B25">
        <v>7</v>
      </c>
      <c r="C25" s="54">
        <v>42331</v>
      </c>
      <c r="D25" t="s">
        <v>1301</v>
      </c>
      <c r="E25" t="s">
        <v>1280</v>
      </c>
      <c r="G25" t="s">
        <v>1394</v>
      </c>
      <c r="H25" t="s">
        <v>1256</v>
      </c>
      <c r="I25" t="s">
        <v>1256</v>
      </c>
      <c r="J25" t="s">
        <v>1256</v>
      </c>
      <c r="K25" t="s">
        <v>1256</v>
      </c>
      <c r="L25">
        <v>151.88</v>
      </c>
      <c r="M25">
        <v>323.93</v>
      </c>
      <c r="N25">
        <v>0</v>
      </c>
      <c r="O25" s="54">
        <v>0</v>
      </c>
      <c r="P25" s="54">
        <v>0</v>
      </c>
      <c r="Q25">
        <v>6</v>
      </c>
      <c r="R25">
        <v>3</v>
      </c>
      <c r="S25">
        <v>16</v>
      </c>
      <c r="T25">
        <v>12</v>
      </c>
      <c r="U25">
        <v>4</v>
      </c>
      <c r="V25">
        <v>1</v>
      </c>
      <c r="W25" t="s">
        <v>1304</v>
      </c>
      <c r="X25" t="s">
        <v>1305</v>
      </c>
      <c r="Y25">
        <v>149</v>
      </c>
      <c r="AA25">
        <v>0</v>
      </c>
      <c r="AB25">
        <v>0</v>
      </c>
      <c r="AC25">
        <v>0</v>
      </c>
      <c r="AD25">
        <v>0</v>
      </c>
      <c r="AE25">
        <v>0</v>
      </c>
      <c r="AF25">
        <v>2</v>
      </c>
      <c r="AG25">
        <v>0</v>
      </c>
      <c r="AJ25" s="54"/>
      <c r="AK25" s="54"/>
      <c r="AL25" s="54"/>
      <c r="AP25" t="s">
        <v>1306</v>
      </c>
      <c r="AS25" t="s">
        <v>1266</v>
      </c>
      <c r="AT25">
        <v>1</v>
      </c>
      <c r="AV25">
        <v>112</v>
      </c>
      <c r="AW25">
        <v>74</v>
      </c>
      <c r="AX25">
        <v>37</v>
      </c>
      <c r="AY25" t="s">
        <v>1259</v>
      </c>
      <c r="AZ25" t="s">
        <v>1258</v>
      </c>
      <c r="BA25">
        <v>112</v>
      </c>
      <c r="BE25">
        <v>22</v>
      </c>
      <c r="BF25">
        <v>0.8</v>
      </c>
      <c r="BG25">
        <v>40</v>
      </c>
      <c r="BH25">
        <v>0</v>
      </c>
      <c r="BI25">
        <v>0</v>
      </c>
      <c r="BJ25">
        <v>0</v>
      </c>
      <c r="BK25">
        <v>0</v>
      </c>
      <c r="BL25">
        <v>0</v>
      </c>
      <c r="BM25">
        <v>62</v>
      </c>
      <c r="BN25">
        <v>0.45</v>
      </c>
      <c r="BO25">
        <v>0</v>
      </c>
      <c r="BP25">
        <v>0</v>
      </c>
      <c r="BR25">
        <v>50</v>
      </c>
      <c r="BS25">
        <v>28</v>
      </c>
      <c r="BX25">
        <v>2580.75</v>
      </c>
      <c r="BY25">
        <v>0</v>
      </c>
      <c r="BZ25">
        <v>0</v>
      </c>
      <c r="CA25">
        <v>3.4</v>
      </c>
      <c r="CB25">
        <v>0</v>
      </c>
      <c r="CC25">
        <v>1</v>
      </c>
      <c r="CD25" s="54">
        <v>42095</v>
      </c>
      <c r="CE25" s="54">
        <v>42219</v>
      </c>
      <c r="CF25" s="54">
        <v>42219</v>
      </c>
      <c r="CG25" s="54">
        <v>42331</v>
      </c>
      <c r="CH25" s="54"/>
      <c r="CI25" s="54"/>
      <c r="CJ25">
        <v>0.37</v>
      </c>
      <c r="CK25">
        <v>275.98</v>
      </c>
      <c r="CL25">
        <v>0.02</v>
      </c>
      <c r="CM25">
        <v>0.33</v>
      </c>
      <c r="CN25">
        <v>0.42</v>
      </c>
      <c r="CO25">
        <v>0.11</v>
      </c>
      <c r="CP25">
        <v>0</v>
      </c>
      <c r="CQ25" t="s">
        <v>1269</v>
      </c>
      <c r="CR25" t="s">
        <v>613</v>
      </c>
      <c r="CS25" t="s">
        <v>1307</v>
      </c>
      <c r="CT25" t="s">
        <v>1268</v>
      </c>
      <c r="CU25" t="s">
        <v>1308</v>
      </c>
      <c r="CV25" t="s">
        <v>1395</v>
      </c>
      <c r="CW25" t="s">
        <v>1336</v>
      </c>
      <c r="CX25" t="s">
        <v>1311</v>
      </c>
      <c r="DC25" t="s">
        <v>1312</v>
      </c>
      <c r="DE25" t="s">
        <v>1313</v>
      </c>
    </row>
    <row r="26" spans="1:109" x14ac:dyDescent="0.25">
      <c r="A26" t="s">
        <v>1027</v>
      </c>
      <c r="B26">
        <v>7</v>
      </c>
      <c r="C26" s="54">
        <v>42331</v>
      </c>
      <c r="D26" t="s">
        <v>1301</v>
      </c>
      <c r="E26" t="s">
        <v>1396</v>
      </c>
      <c r="G26" t="s">
        <v>398</v>
      </c>
      <c r="H26" t="s">
        <v>1256</v>
      </c>
      <c r="I26" t="s">
        <v>1256</v>
      </c>
      <c r="J26" t="s">
        <v>1256</v>
      </c>
      <c r="K26" t="s">
        <v>1256</v>
      </c>
      <c r="L26">
        <v>0.24</v>
      </c>
      <c r="M26">
        <v>0</v>
      </c>
      <c r="N26">
        <v>0</v>
      </c>
      <c r="O26" s="54">
        <v>0</v>
      </c>
      <c r="P26" s="54">
        <v>0</v>
      </c>
      <c r="Q26">
        <v>6</v>
      </c>
      <c r="R26">
        <v>3</v>
      </c>
      <c r="S26">
        <v>16</v>
      </c>
      <c r="T26">
        <v>12</v>
      </c>
      <c r="U26">
        <v>4</v>
      </c>
      <c r="V26">
        <v>1</v>
      </c>
      <c r="X26" t="s">
        <v>1305</v>
      </c>
      <c r="AA26">
        <v>0</v>
      </c>
      <c r="AB26">
        <v>0</v>
      </c>
      <c r="AC26">
        <v>0</v>
      </c>
      <c r="AD26">
        <v>0</v>
      </c>
      <c r="AE26">
        <v>0</v>
      </c>
      <c r="AF26">
        <v>0</v>
      </c>
      <c r="AG26">
        <v>0</v>
      </c>
      <c r="AJ26" s="54"/>
      <c r="AK26" s="54"/>
      <c r="AL26" s="54"/>
      <c r="AP26" t="s">
        <v>1306</v>
      </c>
      <c r="AS26" t="s">
        <v>1266</v>
      </c>
      <c r="AT26">
        <v>1</v>
      </c>
      <c r="AV26">
        <v>0</v>
      </c>
      <c r="AW26">
        <v>0</v>
      </c>
      <c r="AX26">
        <v>0</v>
      </c>
      <c r="AY26" t="s">
        <v>1265</v>
      </c>
      <c r="AZ26" t="s">
        <v>1265</v>
      </c>
      <c r="BA26">
        <v>0</v>
      </c>
      <c r="BE26">
        <v>0</v>
      </c>
      <c r="BF26">
        <v>0</v>
      </c>
      <c r="BG26">
        <v>0</v>
      </c>
      <c r="BH26">
        <v>0</v>
      </c>
      <c r="BI26">
        <v>0</v>
      </c>
      <c r="BJ26">
        <v>0</v>
      </c>
      <c r="BK26">
        <v>0</v>
      </c>
      <c r="BL26">
        <v>0</v>
      </c>
      <c r="BM26">
        <v>0</v>
      </c>
      <c r="BN26">
        <v>0</v>
      </c>
      <c r="BO26">
        <v>0</v>
      </c>
      <c r="BP26">
        <v>0</v>
      </c>
      <c r="BR26">
        <v>0</v>
      </c>
      <c r="BS26">
        <v>0</v>
      </c>
      <c r="BX26">
        <v>0</v>
      </c>
      <c r="BY26">
        <v>0</v>
      </c>
      <c r="BZ26">
        <v>0</v>
      </c>
      <c r="CA26">
        <v>0</v>
      </c>
      <c r="CB26">
        <v>0</v>
      </c>
      <c r="CC26">
        <v>1</v>
      </c>
      <c r="CD26" s="54">
        <v>42095</v>
      </c>
      <c r="CE26" s="54">
        <v>42219</v>
      </c>
      <c r="CF26" s="54">
        <v>42219</v>
      </c>
      <c r="CG26" s="54">
        <v>42331</v>
      </c>
      <c r="CH26" s="54"/>
      <c r="CI26" s="54"/>
      <c r="CJ26">
        <v>1</v>
      </c>
      <c r="CK26">
        <v>0</v>
      </c>
      <c r="CL26">
        <v>0.88</v>
      </c>
      <c r="CM26">
        <v>0</v>
      </c>
      <c r="CN26">
        <v>0</v>
      </c>
      <c r="CO26">
        <v>0</v>
      </c>
      <c r="CP26">
        <v>0</v>
      </c>
      <c r="CQ26" t="s">
        <v>1269</v>
      </c>
      <c r="CR26" t="s">
        <v>613</v>
      </c>
      <c r="CS26" t="s">
        <v>1307</v>
      </c>
      <c r="CT26" t="s">
        <v>1268</v>
      </c>
      <c r="CU26" t="s">
        <v>1308</v>
      </c>
      <c r="CV26" t="s">
        <v>399</v>
      </c>
      <c r="CW26" t="s">
        <v>1387</v>
      </c>
      <c r="CX26" t="s">
        <v>1378</v>
      </c>
      <c r="DC26" t="s">
        <v>1379</v>
      </c>
      <c r="DE26" t="s">
        <v>1380</v>
      </c>
    </row>
    <row r="27" spans="1:109" x14ac:dyDescent="0.25">
      <c r="A27" t="s">
        <v>1027</v>
      </c>
      <c r="B27">
        <v>7</v>
      </c>
      <c r="C27" s="54">
        <v>42331</v>
      </c>
      <c r="D27" t="s">
        <v>1301</v>
      </c>
      <c r="E27" t="s">
        <v>1397</v>
      </c>
      <c r="G27" t="s">
        <v>402</v>
      </c>
      <c r="H27" t="s">
        <v>1256</v>
      </c>
      <c r="I27" t="s">
        <v>1256</v>
      </c>
      <c r="J27" t="s">
        <v>1256</v>
      </c>
      <c r="K27" t="s">
        <v>1256</v>
      </c>
      <c r="L27">
        <v>0.24</v>
      </c>
      <c r="M27">
        <v>0</v>
      </c>
      <c r="N27">
        <v>0</v>
      </c>
      <c r="O27" s="54">
        <v>0</v>
      </c>
      <c r="P27" s="54">
        <v>0</v>
      </c>
      <c r="Q27">
        <v>6</v>
      </c>
      <c r="R27">
        <v>3</v>
      </c>
      <c r="S27">
        <v>16</v>
      </c>
      <c r="T27">
        <v>12</v>
      </c>
      <c r="U27">
        <v>4</v>
      </c>
      <c r="V27">
        <v>1</v>
      </c>
      <c r="X27" t="s">
        <v>1305</v>
      </c>
      <c r="AA27">
        <v>0</v>
      </c>
      <c r="AB27">
        <v>0</v>
      </c>
      <c r="AC27">
        <v>0</v>
      </c>
      <c r="AD27">
        <v>0</v>
      </c>
      <c r="AE27">
        <v>0</v>
      </c>
      <c r="AF27">
        <v>0</v>
      </c>
      <c r="AG27">
        <v>0</v>
      </c>
      <c r="AJ27" s="54"/>
      <c r="AK27" s="54"/>
      <c r="AL27" s="54"/>
      <c r="AP27" t="s">
        <v>1306</v>
      </c>
      <c r="AS27" t="s">
        <v>1266</v>
      </c>
      <c r="AT27">
        <v>1</v>
      </c>
      <c r="AV27">
        <v>0</v>
      </c>
      <c r="AW27">
        <v>0</v>
      </c>
      <c r="AX27">
        <v>0</v>
      </c>
      <c r="AY27" t="s">
        <v>1265</v>
      </c>
      <c r="AZ27" t="s">
        <v>1265</v>
      </c>
      <c r="BA27">
        <v>0</v>
      </c>
      <c r="BE27">
        <v>0</v>
      </c>
      <c r="BF27">
        <v>0</v>
      </c>
      <c r="BG27">
        <v>0</v>
      </c>
      <c r="BH27">
        <v>0</v>
      </c>
      <c r="BI27">
        <v>0</v>
      </c>
      <c r="BJ27">
        <v>0</v>
      </c>
      <c r="BK27">
        <v>0</v>
      </c>
      <c r="BL27">
        <v>0</v>
      </c>
      <c r="BM27">
        <v>0</v>
      </c>
      <c r="BN27">
        <v>0</v>
      </c>
      <c r="BO27">
        <v>0</v>
      </c>
      <c r="BP27">
        <v>0</v>
      </c>
      <c r="BR27">
        <v>0</v>
      </c>
      <c r="BS27">
        <v>0</v>
      </c>
      <c r="BX27">
        <v>0</v>
      </c>
      <c r="BY27">
        <v>0</v>
      </c>
      <c r="BZ27">
        <v>0</v>
      </c>
      <c r="CA27">
        <v>0</v>
      </c>
      <c r="CB27">
        <v>0</v>
      </c>
      <c r="CC27">
        <v>1</v>
      </c>
      <c r="CD27" s="54">
        <v>42095</v>
      </c>
      <c r="CE27" s="54">
        <v>42219</v>
      </c>
      <c r="CF27" s="54">
        <v>42219</v>
      </c>
      <c r="CG27" s="54">
        <v>42331</v>
      </c>
      <c r="CH27" s="54"/>
      <c r="CI27" s="54"/>
      <c r="CJ27">
        <v>1</v>
      </c>
      <c r="CK27">
        <v>0</v>
      </c>
      <c r="CL27">
        <v>0.88</v>
      </c>
      <c r="CM27">
        <v>0</v>
      </c>
      <c r="CN27">
        <v>0</v>
      </c>
      <c r="CO27">
        <v>0</v>
      </c>
      <c r="CP27">
        <v>0</v>
      </c>
      <c r="CQ27" t="s">
        <v>1269</v>
      </c>
      <c r="CR27" t="s">
        <v>613</v>
      </c>
      <c r="CS27" t="s">
        <v>1307</v>
      </c>
      <c r="CT27" t="s">
        <v>1268</v>
      </c>
      <c r="CU27" t="s">
        <v>1308</v>
      </c>
      <c r="CV27" t="s">
        <v>1398</v>
      </c>
      <c r="CW27" t="s">
        <v>1387</v>
      </c>
      <c r="CX27" t="s">
        <v>1378</v>
      </c>
      <c r="DC27" t="s">
        <v>1379</v>
      </c>
      <c r="DE27" t="s">
        <v>1380</v>
      </c>
    </row>
    <row r="28" spans="1:109" x14ac:dyDescent="0.25">
      <c r="A28" t="s">
        <v>1027</v>
      </c>
      <c r="B28">
        <v>7</v>
      </c>
      <c r="C28" s="54">
        <v>42331</v>
      </c>
      <c r="D28" t="s">
        <v>1301</v>
      </c>
      <c r="E28" t="s">
        <v>1399</v>
      </c>
      <c r="G28" t="s">
        <v>681</v>
      </c>
      <c r="H28" t="s">
        <v>1256</v>
      </c>
      <c r="I28" t="s">
        <v>1256</v>
      </c>
      <c r="J28" t="s">
        <v>1256</v>
      </c>
      <c r="K28" t="s">
        <v>1256</v>
      </c>
      <c r="L28">
        <v>0</v>
      </c>
      <c r="M28">
        <v>0</v>
      </c>
      <c r="N28">
        <v>0</v>
      </c>
      <c r="O28" s="54">
        <v>0</v>
      </c>
      <c r="P28" s="54">
        <v>0</v>
      </c>
      <c r="Q28">
        <v>6</v>
      </c>
      <c r="R28">
        <v>3</v>
      </c>
      <c r="S28">
        <v>16</v>
      </c>
      <c r="T28">
        <v>12</v>
      </c>
      <c r="U28">
        <v>4</v>
      </c>
      <c r="V28">
        <v>1</v>
      </c>
      <c r="X28" t="s">
        <v>1305</v>
      </c>
      <c r="AA28">
        <v>0</v>
      </c>
      <c r="AB28">
        <v>0</v>
      </c>
      <c r="AC28">
        <v>0</v>
      </c>
      <c r="AD28">
        <v>0</v>
      </c>
      <c r="AE28">
        <v>0</v>
      </c>
      <c r="AF28">
        <v>0</v>
      </c>
      <c r="AG28">
        <v>0</v>
      </c>
      <c r="AJ28" s="54"/>
      <c r="AK28" s="54"/>
      <c r="AL28" s="54"/>
      <c r="AP28" t="s">
        <v>1306</v>
      </c>
      <c r="AS28" t="s">
        <v>1266</v>
      </c>
      <c r="AT28">
        <v>1</v>
      </c>
      <c r="AV28">
        <v>0</v>
      </c>
      <c r="AW28">
        <v>0</v>
      </c>
      <c r="AX28">
        <v>0</v>
      </c>
      <c r="AY28" t="s">
        <v>1265</v>
      </c>
      <c r="AZ28" t="s">
        <v>1265</v>
      </c>
      <c r="BA28">
        <v>0</v>
      </c>
      <c r="BE28">
        <v>0</v>
      </c>
      <c r="BF28">
        <v>0</v>
      </c>
      <c r="BG28">
        <v>0</v>
      </c>
      <c r="BH28">
        <v>0</v>
      </c>
      <c r="BI28">
        <v>0</v>
      </c>
      <c r="BJ28">
        <v>0</v>
      </c>
      <c r="BK28">
        <v>0</v>
      </c>
      <c r="BL28">
        <v>0</v>
      </c>
      <c r="BM28">
        <v>0</v>
      </c>
      <c r="BN28">
        <v>0</v>
      </c>
      <c r="BO28">
        <v>0</v>
      </c>
      <c r="BP28">
        <v>0</v>
      </c>
      <c r="BR28">
        <v>0</v>
      </c>
      <c r="BS28">
        <v>0</v>
      </c>
      <c r="BX28">
        <v>0</v>
      </c>
      <c r="BY28">
        <v>0</v>
      </c>
      <c r="BZ28">
        <v>0</v>
      </c>
      <c r="CA28">
        <v>0</v>
      </c>
      <c r="CB28">
        <v>0</v>
      </c>
      <c r="CC28">
        <v>1</v>
      </c>
      <c r="CD28" s="54">
        <v>42095</v>
      </c>
      <c r="CE28" s="54">
        <v>42219</v>
      </c>
      <c r="CF28" s="54">
        <v>42219</v>
      </c>
      <c r="CG28" s="54">
        <v>42331</v>
      </c>
      <c r="CH28" s="54"/>
      <c r="CI28" s="54"/>
      <c r="CJ28">
        <v>1</v>
      </c>
      <c r="CK28">
        <v>0</v>
      </c>
      <c r="CL28">
        <v>0.88</v>
      </c>
      <c r="CM28">
        <v>0</v>
      </c>
      <c r="CN28">
        <v>0</v>
      </c>
      <c r="CO28">
        <v>0</v>
      </c>
      <c r="CP28">
        <v>0</v>
      </c>
      <c r="CQ28" t="s">
        <v>1269</v>
      </c>
      <c r="CR28" t="s">
        <v>613</v>
      </c>
      <c r="CS28" t="s">
        <v>1307</v>
      </c>
      <c r="CT28" t="s">
        <v>1268</v>
      </c>
      <c r="CU28" t="s">
        <v>1308</v>
      </c>
      <c r="CV28" t="s">
        <v>1400</v>
      </c>
      <c r="CW28" t="s">
        <v>1368</v>
      </c>
      <c r="CX28" t="s">
        <v>1311</v>
      </c>
      <c r="DC28" t="s">
        <v>1318</v>
      </c>
      <c r="DE28" t="s">
        <v>1313</v>
      </c>
    </row>
    <row r="29" spans="1:109" x14ac:dyDescent="0.25">
      <c r="A29" t="s">
        <v>1027</v>
      </c>
      <c r="B29">
        <v>7</v>
      </c>
      <c r="C29" s="54">
        <v>42331</v>
      </c>
      <c r="D29" t="s">
        <v>1301</v>
      </c>
      <c r="E29" t="s">
        <v>1281</v>
      </c>
      <c r="G29" t="s">
        <v>1401</v>
      </c>
      <c r="H29" t="s">
        <v>1256</v>
      </c>
      <c r="I29" t="s">
        <v>1256</v>
      </c>
      <c r="J29" t="s">
        <v>1256</v>
      </c>
      <c r="K29" t="s">
        <v>1256</v>
      </c>
      <c r="L29">
        <v>1.35</v>
      </c>
      <c r="M29">
        <v>0</v>
      </c>
      <c r="N29">
        <v>0</v>
      </c>
      <c r="O29" s="54">
        <v>0</v>
      </c>
      <c r="P29" s="54">
        <v>0</v>
      </c>
      <c r="Q29">
        <v>6</v>
      </c>
      <c r="R29">
        <v>3</v>
      </c>
      <c r="S29">
        <v>16</v>
      </c>
      <c r="T29">
        <v>12</v>
      </c>
      <c r="U29">
        <v>4</v>
      </c>
      <c r="V29">
        <v>1</v>
      </c>
      <c r="W29" t="s">
        <v>1304</v>
      </c>
      <c r="X29" t="s">
        <v>1305</v>
      </c>
      <c r="Y29">
        <v>6650</v>
      </c>
      <c r="AA29">
        <v>0</v>
      </c>
      <c r="AB29">
        <v>0</v>
      </c>
      <c r="AC29">
        <v>0</v>
      </c>
      <c r="AD29">
        <v>0</v>
      </c>
      <c r="AE29">
        <v>0</v>
      </c>
      <c r="AF29">
        <v>2</v>
      </c>
      <c r="AG29">
        <v>0</v>
      </c>
      <c r="AJ29" s="54"/>
      <c r="AK29" s="54"/>
      <c r="AL29" s="54"/>
      <c r="AP29" t="s">
        <v>1306</v>
      </c>
      <c r="AS29" t="s">
        <v>1266</v>
      </c>
      <c r="AT29">
        <v>1</v>
      </c>
      <c r="AV29">
        <v>5000</v>
      </c>
      <c r="AW29">
        <v>3325</v>
      </c>
      <c r="AX29">
        <v>1650</v>
      </c>
      <c r="AY29" t="s">
        <v>1261</v>
      </c>
      <c r="AZ29" t="s">
        <v>1261</v>
      </c>
      <c r="BA29">
        <v>5000</v>
      </c>
      <c r="BE29">
        <v>3469</v>
      </c>
      <c r="BF29">
        <v>0.31</v>
      </c>
      <c r="BG29">
        <v>0</v>
      </c>
      <c r="BH29">
        <v>0</v>
      </c>
      <c r="BI29">
        <v>0</v>
      </c>
      <c r="BJ29">
        <v>0</v>
      </c>
      <c r="BK29">
        <v>0</v>
      </c>
      <c r="BL29">
        <v>0</v>
      </c>
      <c r="BM29">
        <v>3469</v>
      </c>
      <c r="BN29">
        <v>0.31</v>
      </c>
      <c r="BO29">
        <v>0</v>
      </c>
      <c r="BP29">
        <v>0</v>
      </c>
      <c r="BR29">
        <v>1531</v>
      </c>
      <c r="BS29">
        <v>1250</v>
      </c>
      <c r="BX29">
        <v>0</v>
      </c>
      <c r="BY29">
        <v>0</v>
      </c>
      <c r="BZ29">
        <v>0</v>
      </c>
      <c r="CA29">
        <v>-3</v>
      </c>
      <c r="CB29">
        <v>0</v>
      </c>
      <c r="CC29">
        <v>1</v>
      </c>
      <c r="CD29" s="54">
        <v>42095</v>
      </c>
      <c r="CE29" s="54">
        <v>42219</v>
      </c>
      <c r="CF29" s="54">
        <v>42219</v>
      </c>
      <c r="CG29" s="54">
        <v>42331</v>
      </c>
      <c r="CH29" s="54"/>
      <c r="CI29" s="54"/>
      <c r="CJ29">
        <v>0.19</v>
      </c>
      <c r="CK29">
        <v>3300</v>
      </c>
      <c r="CL29">
        <v>0.02</v>
      </c>
      <c r="CM29">
        <v>0</v>
      </c>
      <c r="CN29">
        <v>0</v>
      </c>
      <c r="CO29">
        <v>0.86</v>
      </c>
      <c r="CP29">
        <v>0</v>
      </c>
      <c r="CQ29" t="s">
        <v>1269</v>
      </c>
      <c r="CR29" t="s">
        <v>613</v>
      </c>
      <c r="CS29" t="s">
        <v>1307</v>
      </c>
      <c r="CT29" t="s">
        <v>1268</v>
      </c>
      <c r="CU29" t="s">
        <v>1308</v>
      </c>
      <c r="CV29" t="s">
        <v>1402</v>
      </c>
      <c r="CW29" t="s">
        <v>1403</v>
      </c>
      <c r="CX29" t="s">
        <v>1311</v>
      </c>
      <c r="DC29" t="s">
        <v>1404</v>
      </c>
      <c r="DE29" t="s">
        <v>1313</v>
      </c>
    </row>
    <row r="30" spans="1:109" x14ac:dyDescent="0.25">
      <c r="A30" t="s">
        <v>1027</v>
      </c>
      <c r="B30">
        <v>7</v>
      </c>
      <c r="C30" s="54">
        <v>42331</v>
      </c>
      <c r="D30" t="s">
        <v>1301</v>
      </c>
      <c r="E30" t="s">
        <v>1282</v>
      </c>
      <c r="G30" t="s">
        <v>1405</v>
      </c>
      <c r="H30" t="s">
        <v>1256</v>
      </c>
      <c r="I30" t="s">
        <v>1256</v>
      </c>
      <c r="J30" t="s">
        <v>1256</v>
      </c>
      <c r="K30" t="s">
        <v>1256</v>
      </c>
      <c r="L30">
        <v>0.26</v>
      </c>
      <c r="M30">
        <v>0</v>
      </c>
      <c r="N30">
        <v>0</v>
      </c>
      <c r="O30" s="54">
        <v>0</v>
      </c>
      <c r="P30" s="54">
        <v>0</v>
      </c>
      <c r="Q30">
        <v>6</v>
      </c>
      <c r="R30">
        <v>3</v>
      </c>
      <c r="S30">
        <v>16</v>
      </c>
      <c r="T30">
        <v>12</v>
      </c>
      <c r="U30">
        <v>4</v>
      </c>
      <c r="V30">
        <v>1</v>
      </c>
      <c r="W30" t="s">
        <v>1304</v>
      </c>
      <c r="X30" t="s">
        <v>1305</v>
      </c>
      <c r="Y30">
        <v>8845</v>
      </c>
      <c r="AA30">
        <v>0</v>
      </c>
      <c r="AB30">
        <v>0</v>
      </c>
      <c r="AC30">
        <v>0</v>
      </c>
      <c r="AD30">
        <v>0</v>
      </c>
      <c r="AE30">
        <v>0</v>
      </c>
      <c r="AF30">
        <v>2</v>
      </c>
      <c r="AG30">
        <v>0</v>
      </c>
      <c r="AJ30" s="54"/>
      <c r="AK30" s="54"/>
      <c r="AL30" s="54"/>
      <c r="AP30" t="s">
        <v>1306</v>
      </c>
      <c r="AS30" t="s">
        <v>1266</v>
      </c>
      <c r="AT30">
        <v>1</v>
      </c>
      <c r="AV30">
        <v>6650</v>
      </c>
      <c r="AW30">
        <v>4422</v>
      </c>
      <c r="AX30">
        <v>2195</v>
      </c>
      <c r="AY30" t="s">
        <v>1258</v>
      </c>
      <c r="AZ30" t="s">
        <v>1258</v>
      </c>
      <c r="BA30">
        <v>6650</v>
      </c>
      <c r="BE30">
        <v>2782</v>
      </c>
      <c r="BF30">
        <v>0.57999999999999996</v>
      </c>
      <c r="BG30">
        <v>0</v>
      </c>
      <c r="BH30">
        <v>0</v>
      </c>
      <c r="BI30">
        <v>0</v>
      </c>
      <c r="BJ30">
        <v>0</v>
      </c>
      <c r="BK30">
        <v>0</v>
      </c>
      <c r="BL30">
        <v>0</v>
      </c>
      <c r="BM30">
        <v>2782</v>
      </c>
      <c r="BN30">
        <v>0.57999999999999996</v>
      </c>
      <c r="BO30">
        <v>0</v>
      </c>
      <c r="BP30">
        <v>0</v>
      </c>
      <c r="BR30">
        <v>3868</v>
      </c>
      <c r="BS30">
        <v>1663</v>
      </c>
      <c r="BX30">
        <v>0</v>
      </c>
      <c r="BY30">
        <v>0</v>
      </c>
      <c r="BZ30">
        <v>0</v>
      </c>
      <c r="CA30">
        <v>-3</v>
      </c>
      <c r="CB30">
        <v>0</v>
      </c>
      <c r="CC30">
        <v>1</v>
      </c>
      <c r="CD30" s="54">
        <v>42095</v>
      </c>
      <c r="CE30" s="54">
        <v>42219</v>
      </c>
      <c r="CF30" s="54">
        <v>42219</v>
      </c>
      <c r="CG30" s="54">
        <v>42331</v>
      </c>
      <c r="CH30" s="54"/>
      <c r="CI30" s="54"/>
      <c r="CJ30">
        <v>0.15</v>
      </c>
      <c r="CK30">
        <v>4390</v>
      </c>
      <c r="CL30">
        <v>0.02</v>
      </c>
      <c r="CM30">
        <v>0</v>
      </c>
      <c r="CN30">
        <v>0.86</v>
      </c>
      <c r="CO30">
        <v>0</v>
      </c>
      <c r="CP30">
        <v>0</v>
      </c>
      <c r="CQ30" t="s">
        <v>1269</v>
      </c>
      <c r="CR30" t="s">
        <v>613</v>
      </c>
      <c r="CS30" t="s">
        <v>1307</v>
      </c>
      <c r="CT30" t="s">
        <v>1268</v>
      </c>
      <c r="CU30" t="s">
        <v>1308</v>
      </c>
      <c r="CV30" t="s">
        <v>1406</v>
      </c>
      <c r="CW30" t="s">
        <v>613</v>
      </c>
      <c r="CX30" t="s">
        <v>1378</v>
      </c>
      <c r="DC30" t="s">
        <v>1379</v>
      </c>
      <c r="DE30" t="s">
        <v>1313</v>
      </c>
    </row>
    <row r="31" spans="1:109" x14ac:dyDescent="0.25">
      <c r="A31" t="s">
        <v>1027</v>
      </c>
      <c r="B31">
        <v>7</v>
      </c>
      <c r="C31" s="54">
        <v>42331</v>
      </c>
      <c r="D31" t="s">
        <v>1301</v>
      </c>
      <c r="E31" t="s">
        <v>1407</v>
      </c>
      <c r="G31" t="s">
        <v>414</v>
      </c>
      <c r="H31" t="s">
        <v>1256</v>
      </c>
      <c r="I31" t="s">
        <v>1256</v>
      </c>
      <c r="J31" t="s">
        <v>1256</v>
      </c>
      <c r="K31" t="s">
        <v>1256</v>
      </c>
      <c r="L31">
        <v>270</v>
      </c>
      <c r="M31">
        <v>0</v>
      </c>
      <c r="N31">
        <v>0</v>
      </c>
      <c r="O31" s="54">
        <v>0</v>
      </c>
      <c r="P31" s="54">
        <v>0</v>
      </c>
      <c r="Q31">
        <v>6</v>
      </c>
      <c r="R31">
        <v>3</v>
      </c>
      <c r="S31">
        <v>16</v>
      </c>
      <c r="T31">
        <v>12</v>
      </c>
      <c r="U31">
        <v>4</v>
      </c>
      <c r="V31">
        <v>1</v>
      </c>
      <c r="X31" t="s">
        <v>1305</v>
      </c>
      <c r="AA31">
        <v>0</v>
      </c>
      <c r="AB31">
        <v>0</v>
      </c>
      <c r="AC31">
        <v>0</v>
      </c>
      <c r="AD31">
        <v>0</v>
      </c>
      <c r="AE31">
        <v>0</v>
      </c>
      <c r="AF31">
        <v>0</v>
      </c>
      <c r="AG31">
        <v>0</v>
      </c>
      <c r="AJ31" s="54"/>
      <c r="AK31" s="54"/>
      <c r="AL31" s="54"/>
      <c r="AP31" t="s">
        <v>1306</v>
      </c>
      <c r="AS31" t="s">
        <v>1266</v>
      </c>
      <c r="AT31">
        <v>1</v>
      </c>
      <c r="AV31">
        <v>0</v>
      </c>
      <c r="AW31">
        <v>0</v>
      </c>
      <c r="AX31">
        <v>0</v>
      </c>
      <c r="AY31" t="s">
        <v>1265</v>
      </c>
      <c r="AZ31" t="s">
        <v>1265</v>
      </c>
      <c r="BA31">
        <v>0</v>
      </c>
      <c r="BE31">
        <v>0</v>
      </c>
      <c r="BF31">
        <v>0</v>
      </c>
      <c r="BG31">
        <v>0</v>
      </c>
      <c r="BH31">
        <v>0</v>
      </c>
      <c r="BI31">
        <v>0</v>
      </c>
      <c r="BJ31">
        <v>0</v>
      </c>
      <c r="BK31">
        <v>0</v>
      </c>
      <c r="BL31">
        <v>0</v>
      </c>
      <c r="BM31">
        <v>0</v>
      </c>
      <c r="BN31">
        <v>0</v>
      </c>
      <c r="BO31">
        <v>0</v>
      </c>
      <c r="BP31">
        <v>0</v>
      </c>
      <c r="BR31">
        <v>0</v>
      </c>
      <c r="BS31">
        <v>0</v>
      </c>
      <c r="BX31">
        <v>0</v>
      </c>
      <c r="BY31">
        <v>0</v>
      </c>
      <c r="BZ31">
        <v>0</v>
      </c>
      <c r="CA31">
        <v>0</v>
      </c>
      <c r="CB31">
        <v>0</v>
      </c>
      <c r="CC31">
        <v>1</v>
      </c>
      <c r="CD31" s="54">
        <v>42095</v>
      </c>
      <c r="CE31" s="54">
        <v>42219</v>
      </c>
      <c r="CF31" s="54">
        <v>42219</v>
      </c>
      <c r="CG31" s="54">
        <v>42331</v>
      </c>
      <c r="CH31" s="54"/>
      <c r="CI31" s="54"/>
      <c r="CJ31">
        <v>0.66</v>
      </c>
      <c r="CK31">
        <v>0</v>
      </c>
      <c r="CL31">
        <v>0.27</v>
      </c>
      <c r="CM31">
        <v>0</v>
      </c>
      <c r="CN31">
        <v>0</v>
      </c>
      <c r="CO31">
        <v>0</v>
      </c>
      <c r="CP31">
        <v>0.61</v>
      </c>
      <c r="CQ31" t="s">
        <v>1269</v>
      </c>
      <c r="CR31" t="s">
        <v>613</v>
      </c>
      <c r="CS31" t="s">
        <v>1307</v>
      </c>
      <c r="CT31" t="s">
        <v>1268</v>
      </c>
      <c r="CU31" t="s">
        <v>1308</v>
      </c>
      <c r="CV31" t="s">
        <v>1408</v>
      </c>
      <c r="CW31" t="s">
        <v>1409</v>
      </c>
      <c r="CX31" t="s">
        <v>1311</v>
      </c>
      <c r="DC31" t="s">
        <v>1312</v>
      </c>
      <c r="DE31" t="s">
        <v>1313</v>
      </c>
    </row>
    <row r="32" spans="1:109" x14ac:dyDescent="0.25">
      <c r="A32" t="s">
        <v>1027</v>
      </c>
      <c r="B32">
        <v>7</v>
      </c>
      <c r="C32" s="54">
        <v>42331</v>
      </c>
      <c r="D32" t="s">
        <v>1301</v>
      </c>
      <c r="E32" t="s">
        <v>1283</v>
      </c>
      <c r="G32" t="s">
        <v>1410</v>
      </c>
      <c r="H32" t="s">
        <v>1256</v>
      </c>
      <c r="I32" t="s">
        <v>1256</v>
      </c>
      <c r="J32" t="s">
        <v>1256</v>
      </c>
      <c r="K32" t="s">
        <v>1256</v>
      </c>
      <c r="L32">
        <v>1.26</v>
      </c>
      <c r="M32">
        <v>0</v>
      </c>
      <c r="N32">
        <v>0</v>
      </c>
      <c r="O32" s="54">
        <v>0</v>
      </c>
      <c r="P32" s="54">
        <v>0</v>
      </c>
      <c r="Q32">
        <v>6</v>
      </c>
      <c r="R32">
        <v>3</v>
      </c>
      <c r="S32">
        <v>16</v>
      </c>
      <c r="T32">
        <v>12</v>
      </c>
      <c r="U32">
        <v>4</v>
      </c>
      <c r="V32">
        <v>1</v>
      </c>
      <c r="W32" t="s">
        <v>1304</v>
      </c>
      <c r="X32" t="s">
        <v>1305</v>
      </c>
      <c r="Y32">
        <v>11498</v>
      </c>
      <c r="AA32">
        <v>0</v>
      </c>
      <c r="AB32">
        <v>0</v>
      </c>
      <c r="AC32">
        <v>0</v>
      </c>
      <c r="AD32">
        <v>0</v>
      </c>
      <c r="AE32">
        <v>0</v>
      </c>
      <c r="AF32">
        <v>2</v>
      </c>
      <c r="AG32">
        <v>0</v>
      </c>
      <c r="AJ32" s="54"/>
      <c r="AK32" s="54"/>
      <c r="AL32" s="54"/>
      <c r="AP32" t="s">
        <v>1306</v>
      </c>
      <c r="AS32" t="s">
        <v>1266</v>
      </c>
      <c r="AT32">
        <v>1</v>
      </c>
      <c r="AV32">
        <v>8645</v>
      </c>
      <c r="AW32">
        <v>5749</v>
      </c>
      <c r="AX32">
        <v>2853</v>
      </c>
      <c r="AY32" t="s">
        <v>1259</v>
      </c>
      <c r="AZ32" t="s">
        <v>1261</v>
      </c>
      <c r="BA32">
        <v>8645</v>
      </c>
      <c r="BE32">
        <v>2678</v>
      </c>
      <c r="BF32">
        <v>0.69</v>
      </c>
      <c r="BG32">
        <v>4000</v>
      </c>
      <c r="BH32">
        <v>0</v>
      </c>
      <c r="BI32">
        <v>0</v>
      </c>
      <c r="BJ32">
        <v>0</v>
      </c>
      <c r="BK32">
        <v>0</v>
      </c>
      <c r="BL32">
        <v>0</v>
      </c>
      <c r="BM32">
        <v>6678</v>
      </c>
      <c r="BN32">
        <v>0.23</v>
      </c>
      <c r="BO32">
        <v>0</v>
      </c>
      <c r="BP32">
        <v>0</v>
      </c>
      <c r="BR32">
        <v>1967</v>
      </c>
      <c r="BS32">
        <v>2161</v>
      </c>
      <c r="BX32">
        <v>-220.5</v>
      </c>
      <c r="BY32">
        <v>0</v>
      </c>
      <c r="BZ32">
        <v>0</v>
      </c>
      <c r="CA32">
        <v>-3</v>
      </c>
      <c r="CB32">
        <v>0</v>
      </c>
      <c r="CC32">
        <v>1</v>
      </c>
      <c r="CD32" s="54">
        <v>42095</v>
      </c>
      <c r="CE32" s="54">
        <v>42219</v>
      </c>
      <c r="CF32" s="54">
        <v>42219</v>
      </c>
      <c r="CG32" s="54">
        <v>42331</v>
      </c>
      <c r="CH32" s="54"/>
      <c r="CI32" s="54"/>
      <c r="CJ32">
        <v>0.84</v>
      </c>
      <c r="CK32">
        <v>114403</v>
      </c>
      <c r="CL32">
        <v>0.02</v>
      </c>
      <c r="CM32">
        <v>0.41</v>
      </c>
      <c r="CN32">
        <v>0.45</v>
      </c>
      <c r="CO32">
        <v>0</v>
      </c>
      <c r="CP32">
        <v>0</v>
      </c>
      <c r="CQ32" t="s">
        <v>1269</v>
      </c>
      <c r="CR32" t="s">
        <v>613</v>
      </c>
      <c r="CS32" t="s">
        <v>1307</v>
      </c>
      <c r="CT32" t="s">
        <v>1268</v>
      </c>
      <c r="CU32" t="s">
        <v>1308</v>
      </c>
      <c r="CV32" t="s">
        <v>1411</v>
      </c>
      <c r="CW32" t="s">
        <v>1373</v>
      </c>
      <c r="CX32" t="s">
        <v>1311</v>
      </c>
      <c r="DC32" t="s">
        <v>1318</v>
      </c>
      <c r="DE32" t="s">
        <v>1313</v>
      </c>
    </row>
    <row r="33" spans="1:109" x14ac:dyDescent="0.25">
      <c r="A33" t="s">
        <v>1027</v>
      </c>
      <c r="B33">
        <v>7</v>
      </c>
      <c r="C33" s="54">
        <v>42331</v>
      </c>
      <c r="D33" t="s">
        <v>1301</v>
      </c>
      <c r="E33" t="s">
        <v>1412</v>
      </c>
      <c r="G33" t="s">
        <v>1413</v>
      </c>
      <c r="H33" t="s">
        <v>1256</v>
      </c>
      <c r="I33" t="s">
        <v>1256</v>
      </c>
      <c r="J33" t="s">
        <v>1256</v>
      </c>
      <c r="K33" t="s">
        <v>1256</v>
      </c>
      <c r="L33">
        <v>0</v>
      </c>
      <c r="M33">
        <v>0</v>
      </c>
      <c r="N33">
        <v>0</v>
      </c>
      <c r="O33" s="54">
        <v>0</v>
      </c>
      <c r="P33" s="54">
        <v>0</v>
      </c>
      <c r="Q33">
        <v>6</v>
      </c>
      <c r="R33">
        <v>3</v>
      </c>
      <c r="S33">
        <v>16</v>
      </c>
      <c r="T33">
        <v>12</v>
      </c>
      <c r="U33">
        <v>4</v>
      </c>
      <c r="V33">
        <v>1</v>
      </c>
      <c r="X33" t="s">
        <v>1305</v>
      </c>
      <c r="AA33">
        <v>0</v>
      </c>
      <c r="AB33">
        <v>0</v>
      </c>
      <c r="AC33">
        <v>0</v>
      </c>
      <c r="AD33">
        <v>0</v>
      </c>
      <c r="AE33">
        <v>0</v>
      </c>
      <c r="AF33">
        <v>0</v>
      </c>
      <c r="AG33">
        <v>0</v>
      </c>
      <c r="AJ33" s="54"/>
      <c r="AK33" s="54"/>
      <c r="AL33" s="54"/>
      <c r="AP33" t="s">
        <v>1306</v>
      </c>
      <c r="AS33" t="s">
        <v>1266</v>
      </c>
      <c r="AT33">
        <v>1</v>
      </c>
      <c r="AV33">
        <v>0</v>
      </c>
      <c r="AW33">
        <v>0</v>
      </c>
      <c r="AX33">
        <v>0</v>
      </c>
      <c r="AY33" t="s">
        <v>1265</v>
      </c>
      <c r="AZ33" t="s">
        <v>1265</v>
      </c>
      <c r="BA33">
        <v>0</v>
      </c>
      <c r="BE33">
        <v>0</v>
      </c>
      <c r="BF33">
        <v>0</v>
      </c>
      <c r="BG33">
        <v>0</v>
      </c>
      <c r="BH33">
        <v>0</v>
      </c>
      <c r="BI33">
        <v>0</v>
      </c>
      <c r="BJ33">
        <v>0</v>
      </c>
      <c r="BK33">
        <v>0</v>
      </c>
      <c r="BL33">
        <v>0</v>
      </c>
      <c r="BM33">
        <v>0</v>
      </c>
      <c r="BN33">
        <v>0</v>
      </c>
      <c r="BO33">
        <v>0</v>
      </c>
      <c r="BP33">
        <v>0</v>
      </c>
      <c r="BR33">
        <v>0</v>
      </c>
      <c r="BS33">
        <v>0</v>
      </c>
      <c r="BX33">
        <v>0</v>
      </c>
      <c r="BY33">
        <v>0</v>
      </c>
      <c r="BZ33">
        <v>0</v>
      </c>
      <c r="CA33">
        <v>0</v>
      </c>
      <c r="CB33">
        <v>0</v>
      </c>
      <c r="CC33">
        <v>1</v>
      </c>
      <c r="CD33" s="54">
        <v>42095</v>
      </c>
      <c r="CE33" s="54">
        <v>42219</v>
      </c>
      <c r="CF33" s="54">
        <v>42219</v>
      </c>
      <c r="CG33" s="54">
        <v>42331</v>
      </c>
      <c r="CH33" s="54"/>
      <c r="CI33" s="54"/>
      <c r="CJ33">
        <v>1</v>
      </c>
      <c r="CK33">
        <v>0</v>
      </c>
      <c r="CL33">
        <v>0.88</v>
      </c>
      <c r="CM33">
        <v>0</v>
      </c>
      <c r="CN33">
        <v>0</v>
      </c>
      <c r="CO33">
        <v>0</v>
      </c>
      <c r="CP33">
        <v>0</v>
      </c>
      <c r="CQ33" t="s">
        <v>1269</v>
      </c>
      <c r="CR33" t="s">
        <v>613</v>
      </c>
      <c r="CS33" t="s">
        <v>1307</v>
      </c>
      <c r="CT33" t="s">
        <v>1268</v>
      </c>
      <c r="CU33" t="s">
        <v>1308</v>
      </c>
      <c r="CV33" t="s">
        <v>1414</v>
      </c>
      <c r="CW33" t="s">
        <v>1373</v>
      </c>
      <c r="CX33" t="s">
        <v>1311</v>
      </c>
      <c r="DC33" t="s">
        <v>1318</v>
      </c>
      <c r="DE33" t="s">
        <v>1313</v>
      </c>
    </row>
    <row r="34" spans="1:109" x14ac:dyDescent="0.25">
      <c r="A34" t="s">
        <v>1027</v>
      </c>
      <c r="B34">
        <v>7</v>
      </c>
      <c r="C34" s="54">
        <v>42331</v>
      </c>
      <c r="D34" t="s">
        <v>1301</v>
      </c>
      <c r="E34" t="s">
        <v>1284</v>
      </c>
      <c r="G34" t="s">
        <v>1415</v>
      </c>
      <c r="H34" t="s">
        <v>1256</v>
      </c>
      <c r="I34" t="s">
        <v>1256</v>
      </c>
      <c r="J34" t="s">
        <v>1256</v>
      </c>
      <c r="K34" t="s">
        <v>1256</v>
      </c>
      <c r="L34">
        <v>4.5999999999999996</v>
      </c>
      <c r="M34">
        <v>0</v>
      </c>
      <c r="N34">
        <v>0</v>
      </c>
      <c r="O34" s="54">
        <v>0</v>
      </c>
      <c r="P34" s="54">
        <v>0</v>
      </c>
      <c r="Q34">
        <v>6</v>
      </c>
      <c r="R34">
        <v>3</v>
      </c>
      <c r="S34">
        <v>16</v>
      </c>
      <c r="T34">
        <v>12</v>
      </c>
      <c r="U34">
        <v>4</v>
      </c>
      <c r="V34">
        <v>1</v>
      </c>
      <c r="W34" t="s">
        <v>1257</v>
      </c>
      <c r="X34" t="s">
        <v>1315</v>
      </c>
      <c r="AA34">
        <v>0</v>
      </c>
      <c r="AB34">
        <v>0</v>
      </c>
      <c r="AC34">
        <v>0</v>
      </c>
      <c r="AD34">
        <v>0</v>
      </c>
      <c r="AE34">
        <v>0</v>
      </c>
      <c r="AF34">
        <v>2</v>
      </c>
      <c r="AG34">
        <v>0</v>
      </c>
      <c r="AJ34" s="54"/>
      <c r="AK34" s="54"/>
      <c r="AL34" s="54"/>
      <c r="AP34" t="s">
        <v>1306</v>
      </c>
      <c r="AS34" t="s">
        <v>1266</v>
      </c>
      <c r="AT34">
        <v>1</v>
      </c>
      <c r="AV34">
        <v>6000</v>
      </c>
      <c r="AW34">
        <v>3990</v>
      </c>
      <c r="AX34">
        <v>1980</v>
      </c>
      <c r="AY34" t="s">
        <v>1258</v>
      </c>
      <c r="AZ34" t="s">
        <v>1258</v>
      </c>
      <c r="BA34">
        <v>7315</v>
      </c>
      <c r="BE34">
        <v>2669</v>
      </c>
      <c r="BF34">
        <v>0.56000000000000005</v>
      </c>
      <c r="BG34">
        <v>0</v>
      </c>
      <c r="BH34">
        <v>0</v>
      </c>
      <c r="BI34">
        <v>0</v>
      </c>
      <c r="BJ34">
        <v>0</v>
      </c>
      <c r="BK34">
        <v>0</v>
      </c>
      <c r="BL34">
        <v>0</v>
      </c>
      <c r="BM34">
        <v>2669</v>
      </c>
      <c r="BN34">
        <v>0.56000000000000005</v>
      </c>
      <c r="BO34">
        <v>0</v>
      </c>
      <c r="BP34">
        <v>0</v>
      </c>
      <c r="BR34">
        <v>3331</v>
      </c>
      <c r="BS34">
        <v>1500</v>
      </c>
      <c r="BX34">
        <v>0</v>
      </c>
      <c r="BY34">
        <v>0</v>
      </c>
      <c r="BZ34">
        <v>0</v>
      </c>
      <c r="CA34">
        <v>-3</v>
      </c>
      <c r="CB34">
        <v>0</v>
      </c>
      <c r="CC34">
        <v>1</v>
      </c>
      <c r="CD34" s="54">
        <v>42230</v>
      </c>
      <c r="CE34" s="54">
        <v>42230</v>
      </c>
      <c r="CF34" s="54">
        <v>42230</v>
      </c>
      <c r="CG34" s="54">
        <v>42342</v>
      </c>
      <c r="CH34" s="54"/>
      <c r="CI34" s="54"/>
      <c r="CJ34">
        <v>0.19</v>
      </c>
      <c r="CK34">
        <v>0</v>
      </c>
      <c r="CL34">
        <v>0.01</v>
      </c>
      <c r="CM34">
        <v>0</v>
      </c>
      <c r="CN34">
        <v>0.75</v>
      </c>
      <c r="CO34">
        <v>0.11</v>
      </c>
      <c r="CP34">
        <v>0</v>
      </c>
      <c r="CQ34" t="s">
        <v>1269</v>
      </c>
      <c r="CR34" t="s">
        <v>613</v>
      </c>
      <c r="CS34" t="s">
        <v>1307</v>
      </c>
      <c r="CT34" t="s">
        <v>1268</v>
      </c>
      <c r="CU34" t="s">
        <v>1308</v>
      </c>
      <c r="CV34" t="s">
        <v>1416</v>
      </c>
      <c r="CW34" t="s">
        <v>1332</v>
      </c>
      <c r="CX34" t="s">
        <v>1311</v>
      </c>
      <c r="DC34" t="s">
        <v>1312</v>
      </c>
      <c r="DE34" t="s">
        <v>1313</v>
      </c>
    </row>
    <row r="35" spans="1:109" x14ac:dyDescent="0.25">
      <c r="A35" t="s">
        <v>1027</v>
      </c>
      <c r="B35">
        <v>7</v>
      </c>
      <c r="C35" s="54">
        <v>42331</v>
      </c>
      <c r="D35" t="s">
        <v>1301</v>
      </c>
      <c r="E35" t="s">
        <v>1285</v>
      </c>
      <c r="G35" t="s">
        <v>1417</v>
      </c>
      <c r="H35" t="s">
        <v>1256</v>
      </c>
      <c r="I35" t="s">
        <v>1256</v>
      </c>
      <c r="J35" t="s">
        <v>1256</v>
      </c>
      <c r="K35" t="s">
        <v>1256</v>
      </c>
      <c r="L35">
        <v>1.94</v>
      </c>
      <c r="M35">
        <v>0</v>
      </c>
      <c r="N35">
        <v>0</v>
      </c>
      <c r="O35" s="54">
        <v>0</v>
      </c>
      <c r="P35" s="54">
        <v>0</v>
      </c>
      <c r="Q35">
        <v>6</v>
      </c>
      <c r="R35">
        <v>3</v>
      </c>
      <c r="S35">
        <v>16</v>
      </c>
      <c r="T35">
        <v>12</v>
      </c>
      <c r="U35">
        <v>4</v>
      </c>
      <c r="V35">
        <v>1</v>
      </c>
      <c r="W35" t="s">
        <v>1304</v>
      </c>
      <c r="X35" t="s">
        <v>1305</v>
      </c>
      <c r="Y35">
        <v>7315</v>
      </c>
      <c r="AA35">
        <v>0</v>
      </c>
      <c r="AB35">
        <v>0</v>
      </c>
      <c r="AC35">
        <v>0</v>
      </c>
      <c r="AD35">
        <v>0</v>
      </c>
      <c r="AE35">
        <v>0</v>
      </c>
      <c r="AF35">
        <v>46</v>
      </c>
      <c r="AG35">
        <v>0</v>
      </c>
      <c r="AJ35" s="54"/>
      <c r="AK35" s="54"/>
      <c r="AL35" s="54"/>
      <c r="AP35" t="s">
        <v>1306</v>
      </c>
      <c r="AS35" t="s">
        <v>1266</v>
      </c>
      <c r="AT35">
        <v>1</v>
      </c>
      <c r="AV35">
        <v>5500</v>
      </c>
      <c r="AW35">
        <v>3658</v>
      </c>
      <c r="AX35">
        <v>1815</v>
      </c>
      <c r="AY35" t="s">
        <v>1258</v>
      </c>
      <c r="AZ35" t="s">
        <v>1258</v>
      </c>
      <c r="BA35">
        <v>5500</v>
      </c>
      <c r="BE35">
        <v>2350</v>
      </c>
      <c r="BF35">
        <v>0.56999999999999995</v>
      </c>
      <c r="BG35">
        <v>0</v>
      </c>
      <c r="BH35">
        <v>0</v>
      </c>
      <c r="BI35">
        <v>0</v>
      </c>
      <c r="BJ35">
        <v>0</v>
      </c>
      <c r="BK35">
        <v>0</v>
      </c>
      <c r="BL35">
        <v>0</v>
      </c>
      <c r="BM35">
        <v>2350</v>
      </c>
      <c r="BN35">
        <v>0.56999999999999995</v>
      </c>
      <c r="BO35">
        <v>0</v>
      </c>
      <c r="BP35">
        <v>0</v>
      </c>
      <c r="BR35">
        <v>3150</v>
      </c>
      <c r="BS35">
        <v>1375</v>
      </c>
      <c r="BX35">
        <v>0</v>
      </c>
      <c r="BY35">
        <v>0</v>
      </c>
      <c r="BZ35">
        <v>0</v>
      </c>
      <c r="CA35">
        <v>-3</v>
      </c>
      <c r="CB35">
        <v>0</v>
      </c>
      <c r="CC35">
        <v>1</v>
      </c>
      <c r="CD35" s="54">
        <v>42095</v>
      </c>
      <c r="CE35" s="54">
        <v>42219</v>
      </c>
      <c r="CF35" s="54">
        <v>42219</v>
      </c>
      <c r="CG35" s="54">
        <v>42331</v>
      </c>
      <c r="CH35" s="54"/>
      <c r="CI35" s="54"/>
      <c r="CJ35">
        <v>0.89</v>
      </c>
      <c r="CK35">
        <v>74415</v>
      </c>
      <c r="CL35">
        <v>0.38</v>
      </c>
      <c r="CM35">
        <v>0</v>
      </c>
      <c r="CN35">
        <v>0.43</v>
      </c>
      <c r="CO35">
        <v>7.0000000000000007E-2</v>
      </c>
      <c r="CP35">
        <v>0</v>
      </c>
      <c r="CQ35" t="s">
        <v>1269</v>
      </c>
      <c r="CR35" t="s">
        <v>613</v>
      </c>
      <c r="CS35" t="s">
        <v>1307</v>
      </c>
      <c r="CT35" t="s">
        <v>1268</v>
      </c>
      <c r="CU35" t="s">
        <v>1308</v>
      </c>
      <c r="CV35" t="s">
        <v>1418</v>
      </c>
      <c r="CW35" t="s">
        <v>1332</v>
      </c>
      <c r="CX35" t="s">
        <v>1311</v>
      </c>
      <c r="DC35" t="s">
        <v>1312</v>
      </c>
      <c r="DE35" t="s">
        <v>1313</v>
      </c>
    </row>
    <row r="36" spans="1:109" x14ac:dyDescent="0.25">
      <c r="A36" t="s">
        <v>1027</v>
      </c>
      <c r="B36">
        <v>7</v>
      </c>
      <c r="C36" s="54">
        <v>42331</v>
      </c>
      <c r="D36" t="s">
        <v>1301</v>
      </c>
      <c r="E36" t="s">
        <v>1286</v>
      </c>
      <c r="G36" t="s">
        <v>1419</v>
      </c>
      <c r="H36" t="s">
        <v>1256</v>
      </c>
      <c r="I36" t="s">
        <v>1256</v>
      </c>
      <c r="J36" t="s">
        <v>1256</v>
      </c>
      <c r="K36" t="s">
        <v>1256</v>
      </c>
      <c r="L36">
        <v>0.24</v>
      </c>
      <c r="M36">
        <v>0</v>
      </c>
      <c r="N36">
        <v>0</v>
      </c>
      <c r="O36" s="54">
        <v>0</v>
      </c>
      <c r="P36" s="54">
        <v>0</v>
      </c>
      <c r="Q36">
        <v>6</v>
      </c>
      <c r="R36">
        <v>3</v>
      </c>
      <c r="S36">
        <v>16</v>
      </c>
      <c r="T36">
        <v>12</v>
      </c>
      <c r="U36">
        <v>4</v>
      </c>
      <c r="V36">
        <v>1</v>
      </c>
      <c r="W36" t="s">
        <v>1304</v>
      </c>
      <c r="X36" t="s">
        <v>1305</v>
      </c>
      <c r="Y36">
        <v>9412</v>
      </c>
      <c r="AA36">
        <v>0</v>
      </c>
      <c r="AB36">
        <v>0</v>
      </c>
      <c r="AC36">
        <v>0</v>
      </c>
      <c r="AD36">
        <v>0</v>
      </c>
      <c r="AE36">
        <v>0</v>
      </c>
      <c r="AF36">
        <v>2</v>
      </c>
      <c r="AG36">
        <v>0</v>
      </c>
      <c r="AJ36" s="54"/>
      <c r="AK36" s="54"/>
      <c r="AL36" s="54"/>
      <c r="AP36" t="s">
        <v>1306</v>
      </c>
      <c r="AS36" t="s">
        <v>1266</v>
      </c>
      <c r="AT36">
        <v>1</v>
      </c>
      <c r="AV36">
        <v>7076</v>
      </c>
      <c r="AW36">
        <v>4706</v>
      </c>
      <c r="AX36">
        <v>2335</v>
      </c>
      <c r="AY36" t="s">
        <v>1259</v>
      </c>
      <c r="AZ36" t="s">
        <v>1261</v>
      </c>
      <c r="BA36">
        <v>7076</v>
      </c>
      <c r="BE36">
        <v>697</v>
      </c>
      <c r="BF36">
        <v>0.9</v>
      </c>
      <c r="BG36">
        <v>5000</v>
      </c>
      <c r="BH36">
        <v>0</v>
      </c>
      <c r="BI36">
        <v>0</v>
      </c>
      <c r="BJ36">
        <v>0</v>
      </c>
      <c r="BK36">
        <v>0</v>
      </c>
      <c r="BL36">
        <v>0</v>
      </c>
      <c r="BM36">
        <v>5697</v>
      </c>
      <c r="BN36">
        <v>0.19</v>
      </c>
      <c r="BO36">
        <v>0</v>
      </c>
      <c r="BP36">
        <v>0</v>
      </c>
      <c r="BR36">
        <v>1379</v>
      </c>
      <c r="BS36">
        <v>1769</v>
      </c>
      <c r="BX36">
        <v>-393.12</v>
      </c>
      <c r="BY36">
        <v>0</v>
      </c>
      <c r="BZ36">
        <v>0</v>
      </c>
      <c r="CA36">
        <v>-3</v>
      </c>
      <c r="CB36">
        <v>0</v>
      </c>
      <c r="CC36">
        <v>1</v>
      </c>
      <c r="CD36" s="54">
        <v>42095</v>
      </c>
      <c r="CE36" s="54">
        <v>42219</v>
      </c>
      <c r="CF36" s="54">
        <v>42219</v>
      </c>
      <c r="CG36" s="54">
        <v>42331</v>
      </c>
      <c r="CH36" s="54"/>
      <c r="CI36" s="54"/>
      <c r="CJ36">
        <v>0.39</v>
      </c>
      <c r="CK36">
        <v>76282</v>
      </c>
      <c r="CL36">
        <v>0.02</v>
      </c>
      <c r="CM36">
        <v>0.78</v>
      </c>
      <c r="CN36">
        <v>0.08</v>
      </c>
      <c r="CO36">
        <v>0</v>
      </c>
      <c r="CP36">
        <v>0</v>
      </c>
      <c r="CQ36" t="s">
        <v>1269</v>
      </c>
      <c r="CR36" t="s">
        <v>613</v>
      </c>
      <c r="CS36" t="s">
        <v>1307</v>
      </c>
      <c r="CT36" t="s">
        <v>1268</v>
      </c>
      <c r="CU36" t="s">
        <v>1308</v>
      </c>
      <c r="CV36" t="s">
        <v>1420</v>
      </c>
      <c r="CW36" t="s">
        <v>613</v>
      </c>
      <c r="CX36" t="s">
        <v>1378</v>
      </c>
      <c r="DC36" t="s">
        <v>1379</v>
      </c>
      <c r="DE36" t="s">
        <v>1313</v>
      </c>
    </row>
    <row r="37" spans="1:109" x14ac:dyDescent="0.25">
      <c r="A37" t="s">
        <v>1027</v>
      </c>
      <c r="B37">
        <v>7</v>
      </c>
      <c r="C37" s="54">
        <v>42331</v>
      </c>
      <c r="D37" t="s">
        <v>1301</v>
      </c>
      <c r="E37" t="s">
        <v>1421</v>
      </c>
      <c r="G37" t="s">
        <v>1422</v>
      </c>
      <c r="H37" t="s">
        <v>1256</v>
      </c>
      <c r="I37" t="s">
        <v>1256</v>
      </c>
      <c r="J37" t="s">
        <v>1256</v>
      </c>
      <c r="K37" t="s">
        <v>1256</v>
      </c>
      <c r="L37">
        <v>234.03</v>
      </c>
      <c r="M37">
        <v>0</v>
      </c>
      <c r="N37">
        <v>0</v>
      </c>
      <c r="O37" s="54">
        <v>0</v>
      </c>
      <c r="P37" s="54">
        <v>0</v>
      </c>
      <c r="Q37">
        <v>6</v>
      </c>
      <c r="R37">
        <v>3</v>
      </c>
      <c r="S37">
        <v>16</v>
      </c>
      <c r="T37">
        <v>12</v>
      </c>
      <c r="U37">
        <v>4</v>
      </c>
      <c r="V37">
        <v>1</v>
      </c>
      <c r="X37" t="s">
        <v>1305</v>
      </c>
      <c r="AA37">
        <v>0</v>
      </c>
      <c r="AB37">
        <v>0</v>
      </c>
      <c r="AC37">
        <v>0</v>
      </c>
      <c r="AD37">
        <v>0</v>
      </c>
      <c r="AE37">
        <v>0</v>
      </c>
      <c r="AF37">
        <v>0</v>
      </c>
      <c r="AG37">
        <v>0</v>
      </c>
      <c r="AJ37" s="54"/>
      <c r="AK37" s="54"/>
      <c r="AL37" s="54"/>
      <c r="AP37" t="s">
        <v>1306</v>
      </c>
      <c r="AS37" t="s">
        <v>1266</v>
      </c>
      <c r="AT37">
        <v>1</v>
      </c>
      <c r="AV37">
        <v>0</v>
      </c>
      <c r="AW37">
        <v>0</v>
      </c>
      <c r="AX37">
        <v>0</v>
      </c>
      <c r="AY37" t="s">
        <v>1265</v>
      </c>
      <c r="AZ37" t="s">
        <v>1265</v>
      </c>
      <c r="BA37">
        <v>0</v>
      </c>
      <c r="BE37">
        <v>0</v>
      </c>
      <c r="BF37">
        <v>0</v>
      </c>
      <c r="BG37">
        <v>0</v>
      </c>
      <c r="BH37">
        <v>0</v>
      </c>
      <c r="BI37">
        <v>0</v>
      </c>
      <c r="BJ37">
        <v>0</v>
      </c>
      <c r="BK37">
        <v>0</v>
      </c>
      <c r="BL37">
        <v>0</v>
      </c>
      <c r="BM37">
        <v>0</v>
      </c>
      <c r="BN37">
        <v>0</v>
      </c>
      <c r="BO37">
        <v>0</v>
      </c>
      <c r="BP37">
        <v>0</v>
      </c>
      <c r="BR37">
        <v>0</v>
      </c>
      <c r="BS37">
        <v>0</v>
      </c>
      <c r="BX37">
        <v>0</v>
      </c>
      <c r="BY37">
        <v>0</v>
      </c>
      <c r="BZ37">
        <v>0</v>
      </c>
      <c r="CA37">
        <v>0</v>
      </c>
      <c r="CB37">
        <v>0</v>
      </c>
      <c r="CC37">
        <v>1</v>
      </c>
      <c r="CD37" s="54">
        <v>42095</v>
      </c>
      <c r="CE37" s="54">
        <v>42219</v>
      </c>
      <c r="CF37" s="54">
        <v>42219</v>
      </c>
      <c r="CG37" s="54">
        <v>42331</v>
      </c>
      <c r="CH37" s="54"/>
      <c r="CI37" s="54"/>
      <c r="CJ37">
        <v>1</v>
      </c>
      <c r="CK37">
        <v>0</v>
      </c>
      <c r="CL37">
        <v>0.88</v>
      </c>
      <c r="CM37">
        <v>0</v>
      </c>
      <c r="CN37">
        <v>0</v>
      </c>
      <c r="CO37">
        <v>0</v>
      </c>
      <c r="CP37">
        <v>0</v>
      </c>
      <c r="CQ37" t="s">
        <v>1269</v>
      </c>
      <c r="CR37" t="s">
        <v>613</v>
      </c>
      <c r="CS37" t="s">
        <v>1307</v>
      </c>
      <c r="CT37" t="s">
        <v>1268</v>
      </c>
      <c r="CU37" t="s">
        <v>1308</v>
      </c>
      <c r="CV37" t="s">
        <v>1423</v>
      </c>
      <c r="CW37" t="s">
        <v>1325</v>
      </c>
      <c r="CX37" t="s">
        <v>1311</v>
      </c>
      <c r="DC37" t="s">
        <v>1312</v>
      </c>
      <c r="DE37" t="s">
        <v>1313</v>
      </c>
    </row>
    <row r="38" spans="1:109" x14ac:dyDescent="0.25">
      <c r="A38" t="s">
        <v>1027</v>
      </c>
      <c r="B38">
        <v>7</v>
      </c>
      <c r="C38" s="54">
        <v>42331</v>
      </c>
      <c r="D38" t="s">
        <v>1301</v>
      </c>
      <c r="E38" t="s">
        <v>1424</v>
      </c>
      <c r="G38" t="s">
        <v>1425</v>
      </c>
      <c r="H38" t="s">
        <v>1256</v>
      </c>
      <c r="I38" t="s">
        <v>1256</v>
      </c>
      <c r="J38" t="s">
        <v>1256</v>
      </c>
      <c r="K38" t="s">
        <v>1256</v>
      </c>
      <c r="L38">
        <v>1.2</v>
      </c>
      <c r="M38">
        <v>0</v>
      </c>
      <c r="N38">
        <v>0</v>
      </c>
      <c r="O38" s="54">
        <v>0</v>
      </c>
      <c r="P38" s="54">
        <v>0</v>
      </c>
      <c r="Q38">
        <v>6</v>
      </c>
      <c r="R38">
        <v>3</v>
      </c>
      <c r="S38">
        <v>16</v>
      </c>
      <c r="T38">
        <v>12</v>
      </c>
      <c r="U38">
        <v>4</v>
      </c>
      <c r="V38">
        <v>1</v>
      </c>
      <c r="X38" t="s">
        <v>1305</v>
      </c>
      <c r="AA38">
        <v>0</v>
      </c>
      <c r="AB38">
        <v>0</v>
      </c>
      <c r="AC38">
        <v>0</v>
      </c>
      <c r="AD38">
        <v>0</v>
      </c>
      <c r="AE38">
        <v>0</v>
      </c>
      <c r="AF38">
        <v>2</v>
      </c>
      <c r="AG38">
        <v>0</v>
      </c>
      <c r="AJ38" s="54"/>
      <c r="AK38" s="54"/>
      <c r="AL38" s="54"/>
      <c r="AP38" t="s">
        <v>1306</v>
      </c>
      <c r="AS38" t="s">
        <v>1266</v>
      </c>
      <c r="AT38">
        <v>1</v>
      </c>
      <c r="AV38">
        <v>15140</v>
      </c>
      <c r="AW38">
        <v>10068</v>
      </c>
      <c r="AX38">
        <v>4996</v>
      </c>
      <c r="AY38" t="s">
        <v>1260</v>
      </c>
      <c r="AZ38" t="s">
        <v>1260</v>
      </c>
      <c r="BA38">
        <v>15140</v>
      </c>
      <c r="BE38">
        <v>17025</v>
      </c>
      <c r="BF38">
        <v>-0.12</v>
      </c>
      <c r="BG38">
        <v>0</v>
      </c>
      <c r="BH38">
        <v>0</v>
      </c>
      <c r="BI38">
        <v>0</v>
      </c>
      <c r="BJ38">
        <v>0</v>
      </c>
      <c r="BK38">
        <v>0</v>
      </c>
      <c r="BL38">
        <v>0</v>
      </c>
      <c r="BM38">
        <v>17025</v>
      </c>
      <c r="BN38">
        <v>-0.12</v>
      </c>
      <c r="BO38">
        <v>0</v>
      </c>
      <c r="BP38">
        <v>0</v>
      </c>
      <c r="BR38">
        <v>0</v>
      </c>
      <c r="BS38">
        <v>3785</v>
      </c>
      <c r="BT38">
        <v>5000</v>
      </c>
      <c r="BX38">
        <v>0</v>
      </c>
      <c r="BY38">
        <v>2262</v>
      </c>
      <c r="BZ38">
        <v>0</v>
      </c>
      <c r="CA38">
        <v>-3</v>
      </c>
      <c r="CB38">
        <v>0</v>
      </c>
      <c r="CC38">
        <v>1</v>
      </c>
      <c r="CD38" s="54">
        <v>42095</v>
      </c>
      <c r="CE38" s="54">
        <v>42219</v>
      </c>
      <c r="CF38" s="54">
        <v>42219</v>
      </c>
      <c r="CG38" s="54">
        <v>42331</v>
      </c>
      <c r="CH38" s="54"/>
      <c r="CI38" s="54"/>
      <c r="CJ38">
        <v>0.17</v>
      </c>
      <c r="CK38">
        <v>0</v>
      </c>
      <c r="CL38">
        <v>0.02</v>
      </c>
      <c r="CM38">
        <v>0</v>
      </c>
      <c r="CN38">
        <v>0</v>
      </c>
      <c r="CO38">
        <v>0.24</v>
      </c>
      <c r="CP38">
        <v>0.62</v>
      </c>
      <c r="CQ38" t="s">
        <v>1269</v>
      </c>
      <c r="CR38" t="s">
        <v>613</v>
      </c>
      <c r="CS38" t="s">
        <v>1307</v>
      </c>
      <c r="CT38" t="s">
        <v>1268</v>
      </c>
      <c r="CU38" t="s">
        <v>1308</v>
      </c>
      <c r="CV38" t="s">
        <v>1426</v>
      </c>
      <c r="CW38" t="s">
        <v>1343</v>
      </c>
      <c r="CX38" t="s">
        <v>1311</v>
      </c>
      <c r="DC38" t="s">
        <v>1312</v>
      </c>
      <c r="DE38" t="s">
        <v>1313</v>
      </c>
    </row>
    <row r="39" spans="1:109" x14ac:dyDescent="0.25">
      <c r="A39" t="s">
        <v>1027</v>
      </c>
      <c r="B39">
        <v>7</v>
      </c>
      <c r="C39" s="54">
        <v>42331</v>
      </c>
      <c r="D39" t="s">
        <v>1301</v>
      </c>
      <c r="E39" t="s">
        <v>1427</v>
      </c>
      <c r="G39" t="s">
        <v>706</v>
      </c>
      <c r="H39" t="s">
        <v>1256</v>
      </c>
      <c r="I39" t="s">
        <v>1256</v>
      </c>
      <c r="J39" t="s">
        <v>1256</v>
      </c>
      <c r="K39" t="s">
        <v>1256</v>
      </c>
      <c r="L39">
        <v>6.85</v>
      </c>
      <c r="M39">
        <v>0</v>
      </c>
      <c r="N39">
        <v>0</v>
      </c>
      <c r="O39" s="54">
        <v>0</v>
      </c>
      <c r="P39" s="54">
        <v>0</v>
      </c>
      <c r="Q39">
        <v>6</v>
      </c>
      <c r="R39">
        <v>3</v>
      </c>
      <c r="S39">
        <v>16</v>
      </c>
      <c r="T39">
        <v>12</v>
      </c>
      <c r="U39">
        <v>4</v>
      </c>
      <c r="V39">
        <v>1</v>
      </c>
      <c r="X39" t="s">
        <v>1305</v>
      </c>
      <c r="AA39">
        <v>0</v>
      </c>
      <c r="AB39">
        <v>0</v>
      </c>
      <c r="AC39">
        <v>0</v>
      </c>
      <c r="AD39">
        <v>0</v>
      </c>
      <c r="AE39">
        <v>0</v>
      </c>
      <c r="AF39">
        <v>0</v>
      </c>
      <c r="AG39">
        <v>0</v>
      </c>
      <c r="AJ39" s="54"/>
      <c r="AK39" s="54"/>
      <c r="AL39" s="54"/>
      <c r="AP39" t="s">
        <v>1306</v>
      </c>
      <c r="AS39" t="s">
        <v>1266</v>
      </c>
      <c r="AT39">
        <v>1</v>
      </c>
      <c r="AV39">
        <v>0</v>
      </c>
      <c r="AW39">
        <v>0</v>
      </c>
      <c r="AX39">
        <v>0</v>
      </c>
      <c r="AY39" t="s">
        <v>1265</v>
      </c>
      <c r="AZ39" t="s">
        <v>1265</v>
      </c>
      <c r="BA39">
        <v>0</v>
      </c>
      <c r="BE39">
        <v>0</v>
      </c>
      <c r="BF39">
        <v>0</v>
      </c>
      <c r="BG39">
        <v>0</v>
      </c>
      <c r="BH39">
        <v>0</v>
      </c>
      <c r="BI39">
        <v>0</v>
      </c>
      <c r="BJ39">
        <v>0</v>
      </c>
      <c r="BK39">
        <v>0</v>
      </c>
      <c r="BL39">
        <v>0</v>
      </c>
      <c r="BM39">
        <v>0</v>
      </c>
      <c r="BN39">
        <v>0</v>
      </c>
      <c r="BO39">
        <v>0</v>
      </c>
      <c r="BP39">
        <v>0</v>
      </c>
      <c r="BR39">
        <v>0</v>
      </c>
      <c r="BS39">
        <v>0</v>
      </c>
      <c r="BX39">
        <v>0</v>
      </c>
      <c r="BY39">
        <v>0</v>
      </c>
      <c r="BZ39">
        <v>0</v>
      </c>
      <c r="CA39">
        <v>0</v>
      </c>
      <c r="CB39">
        <v>0</v>
      </c>
      <c r="CC39">
        <v>1</v>
      </c>
      <c r="CD39" s="54">
        <v>42095</v>
      </c>
      <c r="CE39" s="54">
        <v>42219</v>
      </c>
      <c r="CF39" s="54">
        <v>42219</v>
      </c>
      <c r="CG39" s="54">
        <v>42331</v>
      </c>
      <c r="CH39" s="54"/>
      <c r="CI39" s="54"/>
      <c r="CJ39">
        <v>1</v>
      </c>
      <c r="CK39">
        <v>0</v>
      </c>
      <c r="CL39">
        <v>0.88</v>
      </c>
      <c r="CM39">
        <v>0</v>
      </c>
      <c r="CN39">
        <v>0</v>
      </c>
      <c r="CO39">
        <v>0</v>
      </c>
      <c r="CP39">
        <v>0</v>
      </c>
      <c r="CQ39" t="s">
        <v>1269</v>
      </c>
      <c r="CR39" t="s">
        <v>613</v>
      </c>
      <c r="CS39" t="s">
        <v>1307</v>
      </c>
      <c r="CT39" t="s">
        <v>1268</v>
      </c>
      <c r="CU39" t="s">
        <v>1308</v>
      </c>
      <c r="CV39" t="s">
        <v>1428</v>
      </c>
      <c r="CW39" t="s">
        <v>1343</v>
      </c>
      <c r="CX39" t="s">
        <v>1311</v>
      </c>
      <c r="DC39" t="s">
        <v>1312</v>
      </c>
      <c r="DE39" t="s">
        <v>1313</v>
      </c>
    </row>
    <row r="40" spans="1:109" x14ac:dyDescent="0.25">
      <c r="A40" t="s">
        <v>1027</v>
      </c>
      <c r="B40">
        <v>7</v>
      </c>
      <c r="C40" s="54">
        <v>42331</v>
      </c>
      <c r="D40" t="s">
        <v>1301</v>
      </c>
      <c r="E40" t="s">
        <v>1429</v>
      </c>
      <c r="G40" t="s">
        <v>1430</v>
      </c>
      <c r="H40" t="s">
        <v>1256</v>
      </c>
      <c r="I40" t="s">
        <v>1256</v>
      </c>
      <c r="J40" t="s">
        <v>1256</v>
      </c>
      <c r="K40" t="s">
        <v>1256</v>
      </c>
      <c r="L40">
        <v>320.08999999999997</v>
      </c>
      <c r="M40">
        <v>0</v>
      </c>
      <c r="N40">
        <v>0</v>
      </c>
      <c r="O40" s="54">
        <v>0</v>
      </c>
      <c r="P40" s="54">
        <v>0</v>
      </c>
      <c r="Q40">
        <v>6</v>
      </c>
      <c r="R40">
        <v>3</v>
      </c>
      <c r="S40">
        <v>16</v>
      </c>
      <c r="T40">
        <v>12</v>
      </c>
      <c r="U40">
        <v>4</v>
      </c>
      <c r="V40">
        <v>1</v>
      </c>
      <c r="X40" t="s">
        <v>1315</v>
      </c>
      <c r="AA40">
        <v>0</v>
      </c>
      <c r="AB40">
        <v>0</v>
      </c>
      <c r="AC40">
        <v>0</v>
      </c>
      <c r="AD40">
        <v>0</v>
      </c>
      <c r="AE40">
        <v>0</v>
      </c>
      <c r="AF40">
        <v>2</v>
      </c>
      <c r="AG40">
        <v>0</v>
      </c>
      <c r="AJ40" s="54"/>
      <c r="AK40" s="54"/>
      <c r="AL40" s="54"/>
      <c r="AP40" t="s">
        <v>1306</v>
      </c>
      <c r="AS40" t="s">
        <v>1266</v>
      </c>
      <c r="AT40">
        <v>1</v>
      </c>
      <c r="AV40">
        <v>10</v>
      </c>
      <c r="AW40">
        <v>7</v>
      </c>
      <c r="AX40">
        <v>3</v>
      </c>
      <c r="AY40" t="s">
        <v>1260</v>
      </c>
      <c r="AZ40" t="s">
        <v>1260</v>
      </c>
      <c r="BA40">
        <v>30</v>
      </c>
      <c r="BE40">
        <v>27.04</v>
      </c>
      <c r="BF40">
        <v>-1.7</v>
      </c>
      <c r="BG40">
        <v>0</v>
      </c>
      <c r="BH40">
        <v>0</v>
      </c>
      <c r="BI40">
        <v>0</v>
      </c>
      <c r="BJ40">
        <v>0</v>
      </c>
      <c r="BK40">
        <v>0</v>
      </c>
      <c r="BL40">
        <v>0</v>
      </c>
      <c r="BM40">
        <v>27.04</v>
      </c>
      <c r="BN40">
        <v>-1.7</v>
      </c>
      <c r="BO40">
        <v>0</v>
      </c>
      <c r="BP40">
        <v>0</v>
      </c>
      <c r="BR40">
        <v>0</v>
      </c>
      <c r="BS40">
        <v>3</v>
      </c>
      <c r="BT40">
        <v>5</v>
      </c>
      <c r="BX40">
        <v>0</v>
      </c>
      <c r="BY40">
        <v>5454.33</v>
      </c>
      <c r="BZ40">
        <v>0</v>
      </c>
      <c r="CA40">
        <v>-3</v>
      </c>
      <c r="CB40">
        <v>0</v>
      </c>
      <c r="CC40">
        <v>1</v>
      </c>
      <c r="CD40" s="54">
        <v>42230</v>
      </c>
      <c r="CE40" s="54">
        <v>42230</v>
      </c>
      <c r="CF40" s="54">
        <v>42230</v>
      </c>
      <c r="CG40" s="54">
        <v>42342</v>
      </c>
      <c r="CH40" s="54"/>
      <c r="CI40" s="54"/>
      <c r="CJ40">
        <v>0.24</v>
      </c>
      <c r="CK40">
        <v>0</v>
      </c>
      <c r="CL40">
        <v>0.01</v>
      </c>
      <c r="CM40">
        <v>0</v>
      </c>
      <c r="CN40">
        <v>0</v>
      </c>
      <c r="CO40">
        <v>0</v>
      </c>
      <c r="CP40">
        <v>0.86</v>
      </c>
      <c r="CQ40" t="s">
        <v>1269</v>
      </c>
      <c r="CR40" t="s">
        <v>613</v>
      </c>
      <c r="CS40" t="s">
        <v>1307</v>
      </c>
      <c r="CT40" t="s">
        <v>1268</v>
      </c>
      <c r="CU40" t="s">
        <v>1308</v>
      </c>
      <c r="CV40" t="s">
        <v>1431</v>
      </c>
      <c r="CW40" t="s">
        <v>1368</v>
      </c>
      <c r="CX40" t="s">
        <v>1311</v>
      </c>
      <c r="DC40" t="s">
        <v>1318</v>
      </c>
      <c r="DE40" t="s">
        <v>1313</v>
      </c>
    </row>
    <row r="41" spans="1:109" x14ac:dyDescent="0.25">
      <c r="A41" t="s">
        <v>1027</v>
      </c>
      <c r="B41">
        <v>7</v>
      </c>
      <c r="C41" s="54">
        <v>42331</v>
      </c>
      <c r="D41" t="s">
        <v>1301</v>
      </c>
      <c r="E41" t="s">
        <v>1432</v>
      </c>
      <c r="G41" t="s">
        <v>151</v>
      </c>
      <c r="H41" t="s">
        <v>1256</v>
      </c>
      <c r="I41" t="s">
        <v>1256</v>
      </c>
      <c r="J41" t="s">
        <v>1256</v>
      </c>
      <c r="K41" t="s">
        <v>1256</v>
      </c>
      <c r="L41">
        <v>0.63</v>
      </c>
      <c r="M41">
        <v>0</v>
      </c>
      <c r="N41">
        <v>0</v>
      </c>
      <c r="O41" s="54">
        <v>0</v>
      </c>
      <c r="P41" s="54">
        <v>0</v>
      </c>
      <c r="Q41">
        <v>6</v>
      </c>
      <c r="R41">
        <v>3</v>
      </c>
      <c r="S41">
        <v>16</v>
      </c>
      <c r="T41">
        <v>12</v>
      </c>
      <c r="U41">
        <v>4</v>
      </c>
      <c r="V41">
        <v>1</v>
      </c>
      <c r="X41" t="s">
        <v>1305</v>
      </c>
      <c r="AA41">
        <v>0</v>
      </c>
      <c r="AB41">
        <v>0</v>
      </c>
      <c r="AC41">
        <v>0</v>
      </c>
      <c r="AD41">
        <v>0</v>
      </c>
      <c r="AE41">
        <v>0</v>
      </c>
      <c r="AF41">
        <v>0</v>
      </c>
      <c r="AG41">
        <v>0</v>
      </c>
      <c r="AJ41" s="54"/>
      <c r="AK41" s="54"/>
      <c r="AL41" s="54"/>
      <c r="AP41" t="s">
        <v>1306</v>
      </c>
      <c r="AS41" t="s">
        <v>1266</v>
      </c>
      <c r="AT41">
        <v>1</v>
      </c>
      <c r="AV41">
        <v>0</v>
      </c>
      <c r="AW41">
        <v>0</v>
      </c>
      <c r="AX41">
        <v>0</v>
      </c>
      <c r="AY41" t="s">
        <v>1265</v>
      </c>
      <c r="AZ41" t="s">
        <v>1265</v>
      </c>
      <c r="BA41">
        <v>0</v>
      </c>
      <c r="BE41">
        <v>0</v>
      </c>
      <c r="BF41">
        <v>0</v>
      </c>
      <c r="BG41">
        <v>0</v>
      </c>
      <c r="BH41">
        <v>0</v>
      </c>
      <c r="BI41">
        <v>0</v>
      </c>
      <c r="BJ41">
        <v>0</v>
      </c>
      <c r="BK41">
        <v>0</v>
      </c>
      <c r="BL41">
        <v>0</v>
      </c>
      <c r="BM41">
        <v>0</v>
      </c>
      <c r="BN41">
        <v>0</v>
      </c>
      <c r="BO41">
        <v>0</v>
      </c>
      <c r="BP41">
        <v>0</v>
      </c>
      <c r="BR41">
        <v>0</v>
      </c>
      <c r="BS41">
        <v>0</v>
      </c>
      <c r="BX41">
        <v>0</v>
      </c>
      <c r="BY41">
        <v>0</v>
      </c>
      <c r="BZ41">
        <v>0</v>
      </c>
      <c r="CA41">
        <v>0</v>
      </c>
      <c r="CB41">
        <v>0</v>
      </c>
      <c r="CC41">
        <v>1</v>
      </c>
      <c r="CD41" s="54">
        <v>42095</v>
      </c>
      <c r="CE41" s="54">
        <v>42219</v>
      </c>
      <c r="CF41" s="54">
        <v>42219</v>
      </c>
      <c r="CG41" s="54">
        <v>42331</v>
      </c>
      <c r="CH41" s="54"/>
      <c r="CI41" s="54"/>
      <c r="CJ41">
        <v>1</v>
      </c>
      <c r="CK41">
        <v>0</v>
      </c>
      <c r="CL41">
        <v>0.88</v>
      </c>
      <c r="CM41">
        <v>0</v>
      </c>
      <c r="CN41">
        <v>0</v>
      </c>
      <c r="CO41">
        <v>0</v>
      </c>
      <c r="CP41">
        <v>0</v>
      </c>
      <c r="CQ41" t="s">
        <v>1269</v>
      </c>
      <c r="CR41" t="s">
        <v>613</v>
      </c>
      <c r="CS41" t="s">
        <v>1307</v>
      </c>
      <c r="CT41" t="s">
        <v>1268</v>
      </c>
      <c r="CU41" t="s">
        <v>1308</v>
      </c>
      <c r="CV41" t="s">
        <v>1433</v>
      </c>
      <c r="CW41" t="s">
        <v>1390</v>
      </c>
      <c r="CX41" t="s">
        <v>1378</v>
      </c>
      <c r="DC41" t="s">
        <v>1391</v>
      </c>
      <c r="DE41" t="s">
        <v>1434</v>
      </c>
    </row>
    <row r="42" spans="1:109" x14ac:dyDescent="0.25">
      <c r="A42" t="s">
        <v>1027</v>
      </c>
      <c r="B42">
        <v>7</v>
      </c>
      <c r="C42" s="54">
        <v>42331</v>
      </c>
      <c r="D42" t="s">
        <v>1301</v>
      </c>
      <c r="E42" t="s">
        <v>1435</v>
      </c>
      <c r="G42" t="s">
        <v>730</v>
      </c>
      <c r="H42" t="s">
        <v>1256</v>
      </c>
      <c r="I42" t="s">
        <v>1256</v>
      </c>
      <c r="J42" t="s">
        <v>1256</v>
      </c>
      <c r="K42" t="s">
        <v>1256</v>
      </c>
      <c r="L42">
        <v>5.2</v>
      </c>
      <c r="M42">
        <v>0</v>
      </c>
      <c r="N42">
        <v>0</v>
      </c>
      <c r="O42" s="54">
        <v>0</v>
      </c>
      <c r="P42" s="54">
        <v>0</v>
      </c>
      <c r="Q42">
        <v>6</v>
      </c>
      <c r="R42">
        <v>3</v>
      </c>
      <c r="S42">
        <v>16</v>
      </c>
      <c r="T42">
        <v>12</v>
      </c>
      <c r="U42">
        <v>4</v>
      </c>
      <c r="V42">
        <v>1</v>
      </c>
      <c r="X42" t="s">
        <v>1305</v>
      </c>
      <c r="AA42">
        <v>0</v>
      </c>
      <c r="AB42">
        <v>0</v>
      </c>
      <c r="AC42">
        <v>0</v>
      </c>
      <c r="AD42">
        <v>0</v>
      </c>
      <c r="AE42">
        <v>0</v>
      </c>
      <c r="AF42">
        <v>0</v>
      </c>
      <c r="AG42">
        <v>0</v>
      </c>
      <c r="AJ42" s="54"/>
      <c r="AK42" s="54"/>
      <c r="AL42" s="54"/>
      <c r="AP42" t="s">
        <v>1306</v>
      </c>
      <c r="AS42" t="s">
        <v>1266</v>
      </c>
      <c r="AT42">
        <v>1</v>
      </c>
      <c r="AV42">
        <v>0</v>
      </c>
      <c r="AW42">
        <v>0</v>
      </c>
      <c r="AX42">
        <v>0</v>
      </c>
      <c r="AY42" t="s">
        <v>1265</v>
      </c>
      <c r="AZ42" t="s">
        <v>1265</v>
      </c>
      <c r="BA42">
        <v>0</v>
      </c>
      <c r="BE42">
        <v>0</v>
      </c>
      <c r="BF42">
        <v>0</v>
      </c>
      <c r="BG42">
        <v>0</v>
      </c>
      <c r="BH42">
        <v>0</v>
      </c>
      <c r="BI42">
        <v>0</v>
      </c>
      <c r="BJ42">
        <v>0</v>
      </c>
      <c r="BK42">
        <v>0</v>
      </c>
      <c r="BL42">
        <v>0</v>
      </c>
      <c r="BM42">
        <v>0</v>
      </c>
      <c r="BN42">
        <v>0</v>
      </c>
      <c r="BO42">
        <v>0</v>
      </c>
      <c r="BP42">
        <v>0</v>
      </c>
      <c r="BR42">
        <v>0</v>
      </c>
      <c r="BS42">
        <v>0</v>
      </c>
      <c r="BX42">
        <v>0</v>
      </c>
      <c r="BY42">
        <v>0</v>
      </c>
      <c r="BZ42">
        <v>0</v>
      </c>
      <c r="CA42">
        <v>0</v>
      </c>
      <c r="CB42">
        <v>0</v>
      </c>
      <c r="CC42">
        <v>1</v>
      </c>
      <c r="CD42" s="54">
        <v>42095</v>
      </c>
      <c r="CE42" s="54">
        <v>42219</v>
      </c>
      <c r="CF42" s="54">
        <v>42219</v>
      </c>
      <c r="CG42" s="54">
        <v>42331</v>
      </c>
      <c r="CH42" s="54"/>
      <c r="CI42" s="54"/>
      <c r="CJ42">
        <v>1</v>
      </c>
      <c r="CK42">
        <v>0</v>
      </c>
      <c r="CL42">
        <v>0.88</v>
      </c>
      <c r="CM42">
        <v>0</v>
      </c>
      <c r="CN42">
        <v>0</v>
      </c>
      <c r="CO42">
        <v>0</v>
      </c>
      <c r="CP42">
        <v>0</v>
      </c>
      <c r="CQ42" t="s">
        <v>1269</v>
      </c>
      <c r="CR42" t="s">
        <v>613</v>
      </c>
      <c r="CS42" t="s">
        <v>1307</v>
      </c>
      <c r="CT42" t="s">
        <v>1268</v>
      </c>
      <c r="CU42" t="s">
        <v>1308</v>
      </c>
      <c r="CV42" t="s">
        <v>1436</v>
      </c>
      <c r="CW42" t="s">
        <v>1332</v>
      </c>
      <c r="CX42" t="s">
        <v>1311</v>
      </c>
      <c r="DC42" t="s">
        <v>1312</v>
      </c>
      <c r="DE42" t="s">
        <v>1313</v>
      </c>
    </row>
    <row r="43" spans="1:109" x14ac:dyDescent="0.25">
      <c r="A43" t="s">
        <v>1027</v>
      </c>
      <c r="B43">
        <v>7</v>
      </c>
      <c r="C43" s="54">
        <v>42331</v>
      </c>
      <c r="D43" t="s">
        <v>1301</v>
      </c>
      <c r="E43" t="s">
        <v>1287</v>
      </c>
      <c r="G43" t="s">
        <v>1437</v>
      </c>
      <c r="H43" t="s">
        <v>1256</v>
      </c>
      <c r="I43" t="s">
        <v>1256</v>
      </c>
      <c r="J43" t="s">
        <v>1256</v>
      </c>
      <c r="K43" t="s">
        <v>1256</v>
      </c>
      <c r="L43">
        <v>2.58</v>
      </c>
      <c r="M43">
        <v>0</v>
      </c>
      <c r="N43">
        <v>0</v>
      </c>
      <c r="O43" s="54">
        <v>0</v>
      </c>
      <c r="P43" s="54">
        <v>0</v>
      </c>
      <c r="Q43">
        <v>6</v>
      </c>
      <c r="R43">
        <v>3</v>
      </c>
      <c r="S43">
        <v>16</v>
      </c>
      <c r="T43">
        <v>12</v>
      </c>
      <c r="U43">
        <v>4</v>
      </c>
      <c r="V43">
        <v>1</v>
      </c>
      <c r="W43" t="s">
        <v>1304</v>
      </c>
      <c r="X43" t="s">
        <v>1305</v>
      </c>
      <c r="Y43">
        <v>14152</v>
      </c>
      <c r="AA43">
        <v>0</v>
      </c>
      <c r="AB43">
        <v>0</v>
      </c>
      <c r="AC43">
        <v>0</v>
      </c>
      <c r="AD43">
        <v>0</v>
      </c>
      <c r="AE43">
        <v>0</v>
      </c>
      <c r="AF43">
        <v>2</v>
      </c>
      <c r="AG43">
        <v>0</v>
      </c>
      <c r="AJ43" s="54"/>
      <c r="AK43" s="54"/>
      <c r="AL43" s="54"/>
      <c r="AP43" t="s">
        <v>1306</v>
      </c>
      <c r="AS43" t="s">
        <v>1266</v>
      </c>
      <c r="AT43">
        <v>1</v>
      </c>
      <c r="AV43">
        <v>10640</v>
      </c>
      <c r="AW43">
        <v>7076</v>
      </c>
      <c r="AX43">
        <v>3511</v>
      </c>
      <c r="AY43" t="s">
        <v>1258</v>
      </c>
      <c r="AZ43" t="s">
        <v>1258</v>
      </c>
      <c r="BA43">
        <v>10640</v>
      </c>
      <c r="BE43">
        <v>5050</v>
      </c>
      <c r="BF43">
        <v>0.53</v>
      </c>
      <c r="BG43">
        <v>0</v>
      </c>
      <c r="BH43">
        <v>0</v>
      </c>
      <c r="BI43">
        <v>0</v>
      </c>
      <c r="BJ43">
        <v>0</v>
      </c>
      <c r="BK43">
        <v>0</v>
      </c>
      <c r="BL43">
        <v>0</v>
      </c>
      <c r="BM43">
        <v>5050</v>
      </c>
      <c r="BN43">
        <v>0.53</v>
      </c>
      <c r="BO43">
        <v>0</v>
      </c>
      <c r="BP43">
        <v>0</v>
      </c>
      <c r="BR43">
        <v>5590</v>
      </c>
      <c r="BS43">
        <v>2660</v>
      </c>
      <c r="BX43">
        <v>0</v>
      </c>
      <c r="BY43">
        <v>0</v>
      </c>
      <c r="BZ43">
        <v>0</v>
      </c>
      <c r="CA43">
        <v>-3</v>
      </c>
      <c r="CB43">
        <v>0</v>
      </c>
      <c r="CC43">
        <v>1</v>
      </c>
      <c r="CD43" s="54">
        <v>42095</v>
      </c>
      <c r="CE43" s="54">
        <v>42219</v>
      </c>
      <c r="CF43" s="54">
        <v>42219</v>
      </c>
      <c r="CG43" s="54">
        <v>42331</v>
      </c>
      <c r="CH43" s="54"/>
      <c r="CI43" s="54"/>
      <c r="CJ43">
        <v>0.69</v>
      </c>
      <c r="CK43">
        <v>109251</v>
      </c>
      <c r="CL43">
        <v>0.02</v>
      </c>
      <c r="CM43">
        <v>0.36</v>
      </c>
      <c r="CN43">
        <v>0.5</v>
      </c>
      <c r="CO43">
        <v>0</v>
      </c>
      <c r="CP43">
        <v>0</v>
      </c>
      <c r="CQ43" t="s">
        <v>1269</v>
      </c>
      <c r="CR43" t="s">
        <v>613</v>
      </c>
      <c r="CS43" t="s">
        <v>1307</v>
      </c>
      <c r="CT43" t="s">
        <v>1268</v>
      </c>
      <c r="CU43" t="s">
        <v>1308</v>
      </c>
      <c r="CV43" t="s">
        <v>1438</v>
      </c>
      <c r="CW43" t="s">
        <v>1365</v>
      </c>
      <c r="CX43" t="s">
        <v>1311</v>
      </c>
      <c r="DC43" t="s">
        <v>1318</v>
      </c>
      <c r="DE43" t="s">
        <v>1313</v>
      </c>
    </row>
    <row r="44" spans="1:109" x14ac:dyDescent="0.25">
      <c r="A44" t="s">
        <v>1027</v>
      </c>
      <c r="B44">
        <v>7</v>
      </c>
      <c r="C44" s="54">
        <v>42331</v>
      </c>
      <c r="D44" t="s">
        <v>1301</v>
      </c>
      <c r="E44" t="s">
        <v>1288</v>
      </c>
      <c r="G44" t="s">
        <v>1439</v>
      </c>
      <c r="H44" t="s">
        <v>1256</v>
      </c>
      <c r="I44" t="s">
        <v>1256</v>
      </c>
      <c r="J44" t="s">
        <v>1256</v>
      </c>
      <c r="K44" t="s">
        <v>1256</v>
      </c>
      <c r="L44">
        <v>131.78</v>
      </c>
      <c r="M44">
        <v>0</v>
      </c>
      <c r="N44">
        <v>0</v>
      </c>
      <c r="O44" s="54">
        <v>0</v>
      </c>
      <c r="P44" s="54">
        <v>0</v>
      </c>
      <c r="Q44">
        <v>6</v>
      </c>
      <c r="R44">
        <v>3</v>
      </c>
      <c r="S44">
        <v>16</v>
      </c>
      <c r="T44">
        <v>12</v>
      </c>
      <c r="U44">
        <v>4</v>
      </c>
      <c r="V44">
        <v>1</v>
      </c>
      <c r="W44" t="s">
        <v>1257</v>
      </c>
      <c r="X44" t="s">
        <v>1315</v>
      </c>
      <c r="AA44">
        <v>0</v>
      </c>
      <c r="AB44">
        <v>0</v>
      </c>
      <c r="AC44">
        <v>0</v>
      </c>
      <c r="AD44">
        <v>0</v>
      </c>
      <c r="AE44">
        <v>0</v>
      </c>
      <c r="AF44">
        <v>2</v>
      </c>
      <c r="AG44">
        <v>0</v>
      </c>
      <c r="AJ44" s="54"/>
      <c r="AK44" s="54"/>
      <c r="AL44" s="54"/>
      <c r="AO44">
        <v>50</v>
      </c>
      <c r="AP44" t="s">
        <v>1306</v>
      </c>
      <c r="AS44" t="s">
        <v>1266</v>
      </c>
      <c r="AT44">
        <v>1</v>
      </c>
      <c r="AV44">
        <v>80</v>
      </c>
      <c r="AW44">
        <v>53</v>
      </c>
      <c r="AX44">
        <v>26</v>
      </c>
      <c r="AY44" t="s">
        <v>1258</v>
      </c>
      <c r="AZ44" t="s">
        <v>1258</v>
      </c>
      <c r="BA44">
        <v>127</v>
      </c>
      <c r="BE44">
        <v>29.16</v>
      </c>
      <c r="BF44">
        <v>0.64</v>
      </c>
      <c r="BG44">
        <v>0</v>
      </c>
      <c r="BH44">
        <v>0</v>
      </c>
      <c r="BI44">
        <v>0</v>
      </c>
      <c r="BJ44">
        <v>0</v>
      </c>
      <c r="BK44">
        <v>0</v>
      </c>
      <c r="BL44">
        <v>0</v>
      </c>
      <c r="BM44">
        <v>29.16</v>
      </c>
      <c r="BN44">
        <v>0.64</v>
      </c>
      <c r="BO44">
        <v>0</v>
      </c>
      <c r="BP44">
        <v>0</v>
      </c>
      <c r="BR44">
        <v>51</v>
      </c>
      <c r="BS44">
        <v>20</v>
      </c>
      <c r="BX44">
        <v>0</v>
      </c>
      <c r="BY44">
        <v>0</v>
      </c>
      <c r="BZ44">
        <v>0</v>
      </c>
      <c r="CA44">
        <v>-3</v>
      </c>
      <c r="CB44">
        <v>0</v>
      </c>
      <c r="CC44">
        <v>1</v>
      </c>
      <c r="CD44" s="54">
        <v>42230</v>
      </c>
      <c r="CE44" s="54">
        <v>42230</v>
      </c>
      <c r="CF44" s="54">
        <v>42230</v>
      </c>
      <c r="CG44" s="54">
        <v>42342</v>
      </c>
      <c r="CH44" s="54"/>
      <c r="CI44" s="54"/>
      <c r="CJ44">
        <v>0.57999999999999996</v>
      </c>
      <c r="CK44">
        <v>0</v>
      </c>
      <c r="CL44">
        <v>0.01</v>
      </c>
      <c r="CM44">
        <v>0</v>
      </c>
      <c r="CN44">
        <v>0.45</v>
      </c>
      <c r="CO44">
        <v>0</v>
      </c>
      <c r="CP44">
        <v>0.41</v>
      </c>
      <c r="CQ44" t="s">
        <v>1269</v>
      </c>
      <c r="CR44" t="s">
        <v>613</v>
      </c>
      <c r="CS44" t="s">
        <v>1307</v>
      </c>
      <c r="CT44" t="s">
        <v>1268</v>
      </c>
      <c r="CU44" t="s">
        <v>1308</v>
      </c>
      <c r="CV44" t="s">
        <v>1440</v>
      </c>
      <c r="CW44" t="s">
        <v>1343</v>
      </c>
      <c r="CX44" t="s">
        <v>1311</v>
      </c>
      <c r="DC44" t="s">
        <v>1312</v>
      </c>
      <c r="DE44" t="s">
        <v>1313</v>
      </c>
    </row>
    <row r="45" spans="1:109" x14ac:dyDescent="0.25">
      <c r="A45" t="s">
        <v>1027</v>
      </c>
      <c r="B45">
        <v>7</v>
      </c>
      <c r="C45" s="54">
        <v>42331</v>
      </c>
      <c r="D45" t="s">
        <v>1301</v>
      </c>
      <c r="E45" t="s">
        <v>1441</v>
      </c>
      <c r="G45" t="s">
        <v>1442</v>
      </c>
      <c r="H45" t="s">
        <v>1256</v>
      </c>
      <c r="I45" t="s">
        <v>1256</v>
      </c>
      <c r="J45" t="s">
        <v>1256</v>
      </c>
      <c r="K45" t="s">
        <v>1256</v>
      </c>
      <c r="L45">
        <v>276.81</v>
      </c>
      <c r="M45">
        <v>0</v>
      </c>
      <c r="N45">
        <v>0</v>
      </c>
      <c r="O45" s="54">
        <v>0</v>
      </c>
      <c r="P45" s="54">
        <v>0</v>
      </c>
      <c r="Q45">
        <v>6</v>
      </c>
      <c r="R45">
        <v>3</v>
      </c>
      <c r="S45">
        <v>16</v>
      </c>
      <c r="T45">
        <v>12</v>
      </c>
      <c r="U45">
        <v>4</v>
      </c>
      <c r="V45">
        <v>1</v>
      </c>
      <c r="X45" t="s">
        <v>1315</v>
      </c>
      <c r="AA45">
        <v>0</v>
      </c>
      <c r="AB45">
        <v>0</v>
      </c>
      <c r="AC45">
        <v>0</v>
      </c>
      <c r="AD45">
        <v>0</v>
      </c>
      <c r="AE45">
        <v>0</v>
      </c>
      <c r="AF45">
        <v>2</v>
      </c>
      <c r="AG45">
        <v>0</v>
      </c>
      <c r="AJ45" s="54"/>
      <c r="AK45" s="54"/>
      <c r="AL45" s="54"/>
      <c r="AP45" t="s">
        <v>1306</v>
      </c>
      <c r="AS45" t="s">
        <v>1266</v>
      </c>
      <c r="AT45">
        <v>1</v>
      </c>
      <c r="AV45">
        <v>130</v>
      </c>
      <c r="AW45">
        <v>86</v>
      </c>
      <c r="AX45">
        <v>43</v>
      </c>
      <c r="AY45" t="s">
        <v>1260</v>
      </c>
      <c r="AZ45" t="s">
        <v>1260</v>
      </c>
      <c r="BA45">
        <v>250</v>
      </c>
      <c r="BE45">
        <v>141.86000000000001</v>
      </c>
      <c r="BF45">
        <v>-0.09</v>
      </c>
      <c r="BG45">
        <v>20</v>
      </c>
      <c r="BH45">
        <v>0</v>
      </c>
      <c r="BI45">
        <v>0</v>
      </c>
      <c r="BJ45">
        <v>0</v>
      </c>
      <c r="BK45">
        <v>0</v>
      </c>
      <c r="BL45">
        <v>0</v>
      </c>
      <c r="BM45">
        <v>161.86000000000001</v>
      </c>
      <c r="BN45">
        <v>-0.25</v>
      </c>
      <c r="BO45">
        <v>0</v>
      </c>
      <c r="BP45">
        <v>0</v>
      </c>
      <c r="BR45">
        <v>0</v>
      </c>
      <c r="BS45">
        <v>33</v>
      </c>
      <c r="BX45">
        <v>0</v>
      </c>
      <c r="BY45">
        <v>3282.97</v>
      </c>
      <c r="BZ45">
        <v>0</v>
      </c>
      <c r="CA45">
        <v>-3</v>
      </c>
      <c r="CB45">
        <v>0</v>
      </c>
      <c r="CC45">
        <v>1</v>
      </c>
      <c r="CD45" s="54">
        <v>42230</v>
      </c>
      <c r="CE45" s="54">
        <v>42230</v>
      </c>
      <c r="CF45" s="54">
        <v>42230</v>
      </c>
      <c r="CG45" s="54">
        <v>42342</v>
      </c>
      <c r="CH45" s="54"/>
      <c r="CI45" s="54"/>
      <c r="CJ45">
        <v>0.17</v>
      </c>
      <c r="CK45">
        <v>0</v>
      </c>
      <c r="CL45">
        <v>0.01</v>
      </c>
      <c r="CM45">
        <v>0</v>
      </c>
      <c r="CN45">
        <v>0</v>
      </c>
      <c r="CO45">
        <v>0.36</v>
      </c>
      <c r="CP45">
        <v>0.5</v>
      </c>
      <c r="CQ45" t="s">
        <v>1269</v>
      </c>
      <c r="CR45" t="s">
        <v>613</v>
      </c>
      <c r="CS45" t="s">
        <v>1307</v>
      </c>
      <c r="CT45" t="s">
        <v>1268</v>
      </c>
      <c r="CU45" t="s">
        <v>1308</v>
      </c>
      <c r="CV45" t="s">
        <v>1443</v>
      </c>
      <c r="CW45" t="s">
        <v>1359</v>
      </c>
      <c r="CX45" t="s">
        <v>1311</v>
      </c>
      <c r="DC45" t="s">
        <v>1318</v>
      </c>
      <c r="DE45" t="s">
        <v>1313</v>
      </c>
    </row>
    <row r="46" spans="1:109" x14ac:dyDescent="0.25">
      <c r="A46" t="s">
        <v>1027</v>
      </c>
      <c r="B46">
        <v>7</v>
      </c>
      <c r="C46" s="54">
        <v>42331</v>
      </c>
      <c r="D46" t="s">
        <v>1301</v>
      </c>
      <c r="E46" t="s">
        <v>1444</v>
      </c>
      <c r="G46" t="s">
        <v>1445</v>
      </c>
      <c r="H46" t="s">
        <v>1256</v>
      </c>
      <c r="I46" t="s">
        <v>1256</v>
      </c>
      <c r="J46" t="s">
        <v>1256</v>
      </c>
      <c r="K46" t="s">
        <v>1256</v>
      </c>
      <c r="L46">
        <v>0.71</v>
      </c>
      <c r="M46">
        <v>0</v>
      </c>
      <c r="N46">
        <v>0</v>
      </c>
      <c r="O46" s="54">
        <v>0</v>
      </c>
      <c r="P46" s="54">
        <v>0</v>
      </c>
      <c r="Q46">
        <v>6</v>
      </c>
      <c r="R46">
        <v>3</v>
      </c>
      <c r="S46">
        <v>16</v>
      </c>
      <c r="T46">
        <v>12</v>
      </c>
      <c r="U46">
        <v>4</v>
      </c>
      <c r="V46">
        <v>1</v>
      </c>
      <c r="X46" t="s">
        <v>1305</v>
      </c>
      <c r="AA46">
        <v>0</v>
      </c>
      <c r="AB46">
        <v>0</v>
      </c>
      <c r="AC46">
        <v>0</v>
      </c>
      <c r="AD46">
        <v>0</v>
      </c>
      <c r="AE46">
        <v>0</v>
      </c>
      <c r="AF46">
        <v>0</v>
      </c>
      <c r="AG46">
        <v>0</v>
      </c>
      <c r="AJ46" s="54"/>
      <c r="AK46" s="54"/>
      <c r="AL46" s="54"/>
      <c r="AP46" t="s">
        <v>1306</v>
      </c>
      <c r="AS46" t="s">
        <v>1266</v>
      </c>
      <c r="AT46">
        <v>1</v>
      </c>
      <c r="AV46">
        <v>0</v>
      </c>
      <c r="AW46">
        <v>0</v>
      </c>
      <c r="AX46">
        <v>0</v>
      </c>
      <c r="AY46" t="s">
        <v>1265</v>
      </c>
      <c r="AZ46" t="s">
        <v>1265</v>
      </c>
      <c r="BA46">
        <v>0</v>
      </c>
      <c r="BE46">
        <v>0</v>
      </c>
      <c r="BF46">
        <v>0</v>
      </c>
      <c r="BG46">
        <v>0</v>
      </c>
      <c r="BH46">
        <v>0</v>
      </c>
      <c r="BI46">
        <v>0</v>
      </c>
      <c r="BJ46">
        <v>0</v>
      </c>
      <c r="BK46">
        <v>0</v>
      </c>
      <c r="BL46">
        <v>0</v>
      </c>
      <c r="BM46">
        <v>0</v>
      </c>
      <c r="BN46">
        <v>0</v>
      </c>
      <c r="BO46">
        <v>0</v>
      </c>
      <c r="BP46">
        <v>0</v>
      </c>
      <c r="BR46">
        <v>0</v>
      </c>
      <c r="BS46">
        <v>0</v>
      </c>
      <c r="BX46">
        <v>0</v>
      </c>
      <c r="BY46">
        <v>0</v>
      </c>
      <c r="BZ46">
        <v>0</v>
      </c>
      <c r="CA46">
        <v>0</v>
      </c>
      <c r="CB46">
        <v>0</v>
      </c>
      <c r="CC46">
        <v>1</v>
      </c>
      <c r="CD46" s="54">
        <v>42095</v>
      </c>
      <c r="CE46" s="54">
        <v>42219</v>
      </c>
      <c r="CF46" s="54">
        <v>42219</v>
      </c>
      <c r="CG46" s="54">
        <v>42331</v>
      </c>
      <c r="CH46" s="54"/>
      <c r="CI46" s="54"/>
      <c r="CJ46">
        <v>1</v>
      </c>
      <c r="CK46">
        <v>0</v>
      </c>
      <c r="CL46">
        <v>0.88</v>
      </c>
      <c r="CM46">
        <v>0</v>
      </c>
      <c r="CN46">
        <v>0</v>
      </c>
      <c r="CO46">
        <v>0</v>
      </c>
      <c r="CP46">
        <v>0</v>
      </c>
      <c r="CQ46" t="s">
        <v>1269</v>
      </c>
      <c r="CR46" t="s">
        <v>613</v>
      </c>
      <c r="CS46" t="s">
        <v>1307</v>
      </c>
      <c r="CT46" t="s">
        <v>1268</v>
      </c>
      <c r="CU46" t="s">
        <v>1308</v>
      </c>
      <c r="CV46" t="s">
        <v>1446</v>
      </c>
      <c r="CW46" t="s">
        <v>1390</v>
      </c>
      <c r="CX46" t="s">
        <v>1378</v>
      </c>
      <c r="DC46" t="s">
        <v>1391</v>
      </c>
      <c r="DE46" t="s">
        <v>1434</v>
      </c>
    </row>
    <row r="47" spans="1:109" x14ac:dyDescent="0.25">
      <c r="A47" t="s">
        <v>1027</v>
      </c>
      <c r="B47">
        <v>7</v>
      </c>
      <c r="C47" s="54">
        <v>42331</v>
      </c>
      <c r="D47" t="s">
        <v>1301</v>
      </c>
      <c r="E47" t="s">
        <v>1447</v>
      </c>
      <c r="G47" t="s">
        <v>1448</v>
      </c>
      <c r="H47" t="s">
        <v>1256</v>
      </c>
      <c r="I47" t="s">
        <v>1256</v>
      </c>
      <c r="J47" t="s">
        <v>1256</v>
      </c>
      <c r="K47" t="s">
        <v>1256</v>
      </c>
      <c r="L47">
        <v>0.62</v>
      </c>
      <c r="M47">
        <v>0</v>
      </c>
      <c r="N47">
        <v>0</v>
      </c>
      <c r="O47" s="54">
        <v>0</v>
      </c>
      <c r="P47" s="54">
        <v>0</v>
      </c>
      <c r="Q47">
        <v>6</v>
      </c>
      <c r="R47">
        <v>3</v>
      </c>
      <c r="S47">
        <v>16</v>
      </c>
      <c r="T47">
        <v>12</v>
      </c>
      <c r="U47">
        <v>4</v>
      </c>
      <c r="V47">
        <v>1</v>
      </c>
      <c r="X47" t="s">
        <v>1305</v>
      </c>
      <c r="AA47">
        <v>0</v>
      </c>
      <c r="AB47">
        <v>0</v>
      </c>
      <c r="AC47">
        <v>0</v>
      </c>
      <c r="AD47">
        <v>0</v>
      </c>
      <c r="AE47">
        <v>0</v>
      </c>
      <c r="AF47">
        <v>0</v>
      </c>
      <c r="AG47">
        <v>0</v>
      </c>
      <c r="AJ47" s="54"/>
      <c r="AK47" s="54"/>
      <c r="AL47" s="54"/>
      <c r="AP47" t="s">
        <v>1306</v>
      </c>
      <c r="AS47" t="s">
        <v>1266</v>
      </c>
      <c r="AT47">
        <v>1</v>
      </c>
      <c r="AV47">
        <v>0</v>
      </c>
      <c r="AW47">
        <v>0</v>
      </c>
      <c r="AX47">
        <v>0</v>
      </c>
      <c r="AY47" t="s">
        <v>1265</v>
      </c>
      <c r="AZ47" t="s">
        <v>1265</v>
      </c>
      <c r="BA47">
        <v>0</v>
      </c>
      <c r="BE47">
        <v>0</v>
      </c>
      <c r="BF47">
        <v>0</v>
      </c>
      <c r="BG47">
        <v>0</v>
      </c>
      <c r="BH47">
        <v>0</v>
      </c>
      <c r="BI47">
        <v>0</v>
      </c>
      <c r="BJ47">
        <v>0</v>
      </c>
      <c r="BK47">
        <v>0</v>
      </c>
      <c r="BL47">
        <v>0</v>
      </c>
      <c r="BM47">
        <v>0</v>
      </c>
      <c r="BN47">
        <v>0</v>
      </c>
      <c r="BO47">
        <v>0</v>
      </c>
      <c r="BP47">
        <v>0</v>
      </c>
      <c r="BR47">
        <v>0</v>
      </c>
      <c r="BS47">
        <v>0</v>
      </c>
      <c r="BX47">
        <v>0</v>
      </c>
      <c r="BY47">
        <v>0</v>
      </c>
      <c r="BZ47">
        <v>0</v>
      </c>
      <c r="CA47">
        <v>0</v>
      </c>
      <c r="CB47">
        <v>0</v>
      </c>
      <c r="CC47">
        <v>1</v>
      </c>
      <c r="CD47" s="54">
        <v>42095</v>
      </c>
      <c r="CE47" s="54">
        <v>42219</v>
      </c>
      <c r="CF47" s="54">
        <v>42219</v>
      </c>
      <c r="CG47" s="54">
        <v>42331</v>
      </c>
      <c r="CH47" s="54"/>
      <c r="CI47" s="54"/>
      <c r="CJ47">
        <v>1</v>
      </c>
      <c r="CK47">
        <v>0</v>
      </c>
      <c r="CL47">
        <v>0.88</v>
      </c>
      <c r="CM47">
        <v>0</v>
      </c>
      <c r="CN47">
        <v>0</v>
      </c>
      <c r="CO47">
        <v>0</v>
      </c>
      <c r="CP47">
        <v>0</v>
      </c>
      <c r="CQ47" t="s">
        <v>1269</v>
      </c>
      <c r="CR47" t="s">
        <v>613</v>
      </c>
      <c r="CS47" t="s">
        <v>1307</v>
      </c>
      <c r="CT47" t="s">
        <v>1268</v>
      </c>
      <c r="CU47" t="s">
        <v>1308</v>
      </c>
      <c r="CV47" t="s">
        <v>1449</v>
      </c>
      <c r="CW47" t="s">
        <v>1390</v>
      </c>
      <c r="CX47" t="s">
        <v>1378</v>
      </c>
      <c r="DC47" t="s">
        <v>1391</v>
      </c>
      <c r="DE47" t="s">
        <v>1434</v>
      </c>
    </row>
    <row r="48" spans="1:109" x14ac:dyDescent="0.25">
      <c r="A48" t="s">
        <v>1027</v>
      </c>
      <c r="B48">
        <v>7</v>
      </c>
      <c r="C48" s="54">
        <v>42331</v>
      </c>
      <c r="D48" t="s">
        <v>1301</v>
      </c>
      <c r="E48" t="s">
        <v>1450</v>
      </c>
      <c r="G48" t="s">
        <v>1451</v>
      </c>
      <c r="H48" t="s">
        <v>1256</v>
      </c>
      <c r="I48" t="s">
        <v>1256</v>
      </c>
      <c r="J48" t="s">
        <v>1256</v>
      </c>
      <c r="K48" t="s">
        <v>1256</v>
      </c>
      <c r="L48">
        <v>0.36</v>
      </c>
      <c r="M48">
        <v>0</v>
      </c>
      <c r="N48">
        <v>0</v>
      </c>
      <c r="O48" s="54">
        <v>0</v>
      </c>
      <c r="P48" s="54">
        <v>0</v>
      </c>
      <c r="Q48">
        <v>6</v>
      </c>
      <c r="R48">
        <v>3</v>
      </c>
      <c r="S48">
        <v>16</v>
      </c>
      <c r="T48">
        <v>12</v>
      </c>
      <c r="U48">
        <v>4</v>
      </c>
      <c r="V48">
        <v>1</v>
      </c>
      <c r="X48" t="s">
        <v>1305</v>
      </c>
      <c r="AA48">
        <v>0</v>
      </c>
      <c r="AB48">
        <v>0</v>
      </c>
      <c r="AC48">
        <v>0</v>
      </c>
      <c r="AD48">
        <v>0</v>
      </c>
      <c r="AE48">
        <v>0</v>
      </c>
      <c r="AF48">
        <v>0</v>
      </c>
      <c r="AG48">
        <v>0</v>
      </c>
      <c r="AJ48" s="54"/>
      <c r="AK48" s="54"/>
      <c r="AL48" s="54"/>
      <c r="AP48" t="s">
        <v>1306</v>
      </c>
      <c r="AS48" t="s">
        <v>1266</v>
      </c>
      <c r="AT48">
        <v>1</v>
      </c>
      <c r="AV48">
        <v>0</v>
      </c>
      <c r="AW48">
        <v>0</v>
      </c>
      <c r="AX48">
        <v>0</v>
      </c>
      <c r="AY48" t="s">
        <v>1265</v>
      </c>
      <c r="AZ48" t="s">
        <v>1265</v>
      </c>
      <c r="BA48">
        <v>0</v>
      </c>
      <c r="BE48">
        <v>0</v>
      </c>
      <c r="BF48">
        <v>0</v>
      </c>
      <c r="BG48">
        <v>0</v>
      </c>
      <c r="BH48">
        <v>0</v>
      </c>
      <c r="BI48">
        <v>0</v>
      </c>
      <c r="BJ48">
        <v>0</v>
      </c>
      <c r="BK48">
        <v>0</v>
      </c>
      <c r="BL48">
        <v>0</v>
      </c>
      <c r="BM48">
        <v>0</v>
      </c>
      <c r="BN48">
        <v>0</v>
      </c>
      <c r="BO48">
        <v>0</v>
      </c>
      <c r="BP48">
        <v>0</v>
      </c>
      <c r="BR48">
        <v>0</v>
      </c>
      <c r="BS48">
        <v>0</v>
      </c>
      <c r="BX48">
        <v>0</v>
      </c>
      <c r="BY48">
        <v>0</v>
      </c>
      <c r="BZ48">
        <v>0</v>
      </c>
      <c r="CA48">
        <v>0</v>
      </c>
      <c r="CB48">
        <v>0</v>
      </c>
      <c r="CC48">
        <v>1</v>
      </c>
      <c r="CD48" s="54">
        <v>42095</v>
      </c>
      <c r="CE48" s="54">
        <v>42219</v>
      </c>
      <c r="CF48" s="54">
        <v>42219</v>
      </c>
      <c r="CG48" s="54">
        <v>42331</v>
      </c>
      <c r="CH48" s="54"/>
      <c r="CI48" s="54"/>
      <c r="CJ48">
        <v>1</v>
      </c>
      <c r="CK48">
        <v>0</v>
      </c>
      <c r="CL48">
        <v>0.88</v>
      </c>
      <c r="CM48">
        <v>0</v>
      </c>
      <c r="CN48">
        <v>0</v>
      </c>
      <c r="CO48">
        <v>0</v>
      </c>
      <c r="CP48">
        <v>0</v>
      </c>
      <c r="CQ48" t="s">
        <v>1269</v>
      </c>
      <c r="CR48" t="s">
        <v>613</v>
      </c>
      <c r="CS48" t="s">
        <v>1307</v>
      </c>
      <c r="CT48" t="s">
        <v>1268</v>
      </c>
      <c r="CU48" t="s">
        <v>1308</v>
      </c>
      <c r="CV48" t="s">
        <v>1452</v>
      </c>
      <c r="CW48" t="s">
        <v>1390</v>
      </c>
      <c r="CX48" t="s">
        <v>1378</v>
      </c>
      <c r="DC48" t="s">
        <v>1391</v>
      </c>
      <c r="DE48" t="s">
        <v>1434</v>
      </c>
    </row>
    <row r="49" spans="1:109" x14ac:dyDescent="0.25">
      <c r="A49" t="s">
        <v>1027</v>
      </c>
      <c r="B49">
        <v>7</v>
      </c>
      <c r="C49" s="54">
        <v>42331</v>
      </c>
      <c r="D49" t="s">
        <v>1301</v>
      </c>
      <c r="E49" t="s">
        <v>1453</v>
      </c>
      <c r="G49" t="s">
        <v>1454</v>
      </c>
      <c r="H49" t="s">
        <v>1256</v>
      </c>
      <c r="I49" t="s">
        <v>1256</v>
      </c>
      <c r="J49" t="s">
        <v>1256</v>
      </c>
      <c r="K49" t="s">
        <v>1256</v>
      </c>
      <c r="L49">
        <v>0.34</v>
      </c>
      <c r="M49">
        <v>0</v>
      </c>
      <c r="N49">
        <v>0</v>
      </c>
      <c r="O49" s="54">
        <v>0</v>
      </c>
      <c r="P49" s="54">
        <v>0</v>
      </c>
      <c r="Q49">
        <v>6</v>
      </c>
      <c r="R49">
        <v>3</v>
      </c>
      <c r="S49">
        <v>16</v>
      </c>
      <c r="T49">
        <v>12</v>
      </c>
      <c r="U49">
        <v>4</v>
      </c>
      <c r="V49">
        <v>1</v>
      </c>
      <c r="X49" t="s">
        <v>1305</v>
      </c>
      <c r="AA49">
        <v>0</v>
      </c>
      <c r="AB49">
        <v>0</v>
      </c>
      <c r="AC49">
        <v>0</v>
      </c>
      <c r="AD49">
        <v>0</v>
      </c>
      <c r="AE49">
        <v>0</v>
      </c>
      <c r="AF49">
        <v>0</v>
      </c>
      <c r="AG49">
        <v>0</v>
      </c>
      <c r="AJ49" s="54"/>
      <c r="AK49" s="54"/>
      <c r="AL49" s="54"/>
      <c r="AP49" t="s">
        <v>1306</v>
      </c>
      <c r="AS49" t="s">
        <v>1266</v>
      </c>
      <c r="AT49">
        <v>1</v>
      </c>
      <c r="AV49">
        <v>0</v>
      </c>
      <c r="AW49">
        <v>0</v>
      </c>
      <c r="AX49">
        <v>0</v>
      </c>
      <c r="AY49" t="s">
        <v>1265</v>
      </c>
      <c r="AZ49" t="s">
        <v>1265</v>
      </c>
      <c r="BA49">
        <v>0</v>
      </c>
      <c r="BE49">
        <v>0</v>
      </c>
      <c r="BF49">
        <v>0</v>
      </c>
      <c r="BG49">
        <v>0</v>
      </c>
      <c r="BH49">
        <v>0</v>
      </c>
      <c r="BI49">
        <v>0</v>
      </c>
      <c r="BJ49">
        <v>0</v>
      </c>
      <c r="BK49">
        <v>0</v>
      </c>
      <c r="BL49">
        <v>0</v>
      </c>
      <c r="BM49">
        <v>0</v>
      </c>
      <c r="BN49">
        <v>0</v>
      </c>
      <c r="BO49">
        <v>0</v>
      </c>
      <c r="BP49">
        <v>0</v>
      </c>
      <c r="BR49">
        <v>0</v>
      </c>
      <c r="BS49">
        <v>0</v>
      </c>
      <c r="BX49">
        <v>0</v>
      </c>
      <c r="BY49">
        <v>0</v>
      </c>
      <c r="BZ49">
        <v>0</v>
      </c>
      <c r="CA49">
        <v>0</v>
      </c>
      <c r="CB49">
        <v>0</v>
      </c>
      <c r="CC49">
        <v>1</v>
      </c>
      <c r="CD49" s="54">
        <v>42095</v>
      </c>
      <c r="CE49" s="54">
        <v>42219</v>
      </c>
      <c r="CF49" s="54">
        <v>42219</v>
      </c>
      <c r="CG49" s="54">
        <v>42331</v>
      </c>
      <c r="CH49" s="54"/>
      <c r="CI49" s="54"/>
      <c r="CJ49">
        <v>1</v>
      </c>
      <c r="CK49">
        <v>0</v>
      </c>
      <c r="CL49">
        <v>0.88</v>
      </c>
      <c r="CM49">
        <v>0</v>
      </c>
      <c r="CN49">
        <v>0</v>
      </c>
      <c r="CO49">
        <v>0</v>
      </c>
      <c r="CP49">
        <v>0</v>
      </c>
      <c r="CQ49" t="s">
        <v>1269</v>
      </c>
      <c r="CR49" t="s">
        <v>613</v>
      </c>
      <c r="CS49" t="s">
        <v>1307</v>
      </c>
      <c r="CT49" t="s">
        <v>1268</v>
      </c>
      <c r="CU49" t="s">
        <v>1308</v>
      </c>
      <c r="CV49" t="s">
        <v>1455</v>
      </c>
      <c r="CW49" t="s">
        <v>1390</v>
      </c>
      <c r="CX49" t="s">
        <v>1378</v>
      </c>
      <c r="DC49" t="s">
        <v>1391</v>
      </c>
      <c r="DE49" t="s">
        <v>1434</v>
      </c>
    </row>
    <row r="50" spans="1:109" x14ac:dyDescent="0.25">
      <c r="A50" t="s">
        <v>1027</v>
      </c>
      <c r="B50">
        <v>7</v>
      </c>
      <c r="C50" s="54">
        <v>42331</v>
      </c>
      <c r="D50" t="s">
        <v>1301</v>
      </c>
      <c r="E50" t="s">
        <v>1456</v>
      </c>
      <c r="G50" t="s">
        <v>1457</v>
      </c>
      <c r="H50" t="s">
        <v>1256</v>
      </c>
      <c r="I50" t="s">
        <v>1256</v>
      </c>
      <c r="J50" t="s">
        <v>1256</v>
      </c>
      <c r="K50" t="s">
        <v>1256</v>
      </c>
      <c r="L50">
        <v>1.1200000000000001</v>
      </c>
      <c r="M50">
        <v>0</v>
      </c>
      <c r="N50">
        <v>0</v>
      </c>
      <c r="O50" s="54">
        <v>0</v>
      </c>
      <c r="P50" s="54">
        <v>0</v>
      </c>
      <c r="Q50">
        <v>6</v>
      </c>
      <c r="R50">
        <v>3</v>
      </c>
      <c r="S50">
        <v>16</v>
      </c>
      <c r="T50">
        <v>12</v>
      </c>
      <c r="U50">
        <v>4</v>
      </c>
      <c r="V50">
        <v>1</v>
      </c>
      <c r="X50" t="s">
        <v>1305</v>
      </c>
      <c r="AA50">
        <v>0</v>
      </c>
      <c r="AB50">
        <v>0</v>
      </c>
      <c r="AC50">
        <v>0</v>
      </c>
      <c r="AD50">
        <v>0</v>
      </c>
      <c r="AE50">
        <v>0</v>
      </c>
      <c r="AF50">
        <v>0</v>
      </c>
      <c r="AG50">
        <v>0</v>
      </c>
      <c r="AJ50" s="54"/>
      <c r="AK50" s="54"/>
      <c r="AL50" s="54"/>
      <c r="AP50" t="s">
        <v>1306</v>
      </c>
      <c r="AS50" t="s">
        <v>1266</v>
      </c>
      <c r="AT50">
        <v>1</v>
      </c>
      <c r="AV50">
        <v>0</v>
      </c>
      <c r="AW50">
        <v>0</v>
      </c>
      <c r="AX50">
        <v>0</v>
      </c>
      <c r="AY50" t="s">
        <v>1265</v>
      </c>
      <c r="AZ50" t="s">
        <v>1265</v>
      </c>
      <c r="BA50">
        <v>0</v>
      </c>
      <c r="BE50">
        <v>0</v>
      </c>
      <c r="BF50">
        <v>0</v>
      </c>
      <c r="BG50">
        <v>0</v>
      </c>
      <c r="BH50">
        <v>0</v>
      </c>
      <c r="BI50">
        <v>0</v>
      </c>
      <c r="BJ50">
        <v>0</v>
      </c>
      <c r="BK50">
        <v>0</v>
      </c>
      <c r="BL50">
        <v>0</v>
      </c>
      <c r="BM50">
        <v>0</v>
      </c>
      <c r="BN50">
        <v>0</v>
      </c>
      <c r="BO50">
        <v>0</v>
      </c>
      <c r="BP50">
        <v>0</v>
      </c>
      <c r="BR50">
        <v>0</v>
      </c>
      <c r="BS50">
        <v>0</v>
      </c>
      <c r="BX50">
        <v>0</v>
      </c>
      <c r="BY50">
        <v>0</v>
      </c>
      <c r="BZ50">
        <v>0</v>
      </c>
      <c r="CA50">
        <v>0</v>
      </c>
      <c r="CB50">
        <v>0</v>
      </c>
      <c r="CC50">
        <v>1</v>
      </c>
      <c r="CD50" s="54">
        <v>42095</v>
      </c>
      <c r="CE50" s="54">
        <v>42219</v>
      </c>
      <c r="CF50" s="54">
        <v>42219</v>
      </c>
      <c r="CG50" s="54">
        <v>42331</v>
      </c>
      <c r="CH50" s="54"/>
      <c r="CI50" s="54"/>
      <c r="CJ50">
        <v>1</v>
      </c>
      <c r="CK50">
        <v>0</v>
      </c>
      <c r="CL50">
        <v>0.88</v>
      </c>
      <c r="CM50">
        <v>0</v>
      </c>
      <c r="CN50">
        <v>0</v>
      </c>
      <c r="CO50">
        <v>0</v>
      </c>
      <c r="CP50">
        <v>0</v>
      </c>
      <c r="CQ50" t="s">
        <v>1269</v>
      </c>
      <c r="CR50" t="s">
        <v>613</v>
      </c>
      <c r="CS50" t="s">
        <v>1307</v>
      </c>
      <c r="CT50" t="s">
        <v>1268</v>
      </c>
      <c r="CU50" t="s">
        <v>1308</v>
      </c>
      <c r="CV50" t="s">
        <v>1458</v>
      </c>
      <c r="CW50" t="s">
        <v>1347</v>
      </c>
      <c r="CX50" t="s">
        <v>1311</v>
      </c>
      <c r="DC50" t="s">
        <v>1318</v>
      </c>
      <c r="DE50" t="s">
        <v>1313</v>
      </c>
    </row>
    <row r="51" spans="1:109" x14ac:dyDescent="0.25">
      <c r="A51" t="s">
        <v>1027</v>
      </c>
      <c r="B51">
        <v>7</v>
      </c>
      <c r="C51" s="54">
        <v>42331</v>
      </c>
      <c r="D51" t="s">
        <v>1301</v>
      </c>
      <c r="E51" t="s">
        <v>1289</v>
      </c>
      <c r="G51" t="s">
        <v>1459</v>
      </c>
      <c r="H51" t="s">
        <v>1256</v>
      </c>
      <c r="I51" t="s">
        <v>1256</v>
      </c>
      <c r="J51" t="s">
        <v>1256</v>
      </c>
      <c r="K51" t="s">
        <v>1256</v>
      </c>
      <c r="L51">
        <v>3.1</v>
      </c>
      <c r="M51">
        <v>0</v>
      </c>
      <c r="N51">
        <v>0</v>
      </c>
      <c r="O51" s="54">
        <v>0</v>
      </c>
      <c r="P51" s="54">
        <v>0</v>
      </c>
      <c r="Q51">
        <v>6</v>
      </c>
      <c r="R51">
        <v>3</v>
      </c>
      <c r="S51">
        <v>16</v>
      </c>
      <c r="T51">
        <v>12</v>
      </c>
      <c r="U51">
        <v>4</v>
      </c>
      <c r="V51">
        <v>1</v>
      </c>
      <c r="W51" t="s">
        <v>1304</v>
      </c>
      <c r="X51" t="s">
        <v>1305</v>
      </c>
      <c r="Y51">
        <v>17689</v>
      </c>
      <c r="AA51">
        <v>0</v>
      </c>
      <c r="AB51">
        <v>0</v>
      </c>
      <c r="AC51">
        <v>0</v>
      </c>
      <c r="AD51">
        <v>0</v>
      </c>
      <c r="AE51">
        <v>0</v>
      </c>
      <c r="AF51">
        <v>43</v>
      </c>
      <c r="AG51">
        <v>0</v>
      </c>
      <c r="AJ51" s="54"/>
      <c r="AK51" s="54"/>
      <c r="AL51" s="54"/>
      <c r="AP51" t="s">
        <v>1306</v>
      </c>
      <c r="AS51" t="s">
        <v>1266</v>
      </c>
      <c r="AT51">
        <v>1</v>
      </c>
      <c r="AV51">
        <v>13300</v>
      </c>
      <c r="AW51">
        <v>8845</v>
      </c>
      <c r="AX51">
        <v>4389</v>
      </c>
      <c r="AY51" t="s">
        <v>1259</v>
      </c>
      <c r="AZ51" t="s">
        <v>1258</v>
      </c>
      <c r="BA51">
        <v>13300</v>
      </c>
      <c r="BE51">
        <v>480</v>
      </c>
      <c r="BF51">
        <v>0.96</v>
      </c>
      <c r="BG51">
        <v>5000</v>
      </c>
      <c r="BH51">
        <v>0</v>
      </c>
      <c r="BI51">
        <v>0</v>
      </c>
      <c r="BJ51">
        <v>0</v>
      </c>
      <c r="BK51">
        <v>0</v>
      </c>
      <c r="BL51">
        <v>0</v>
      </c>
      <c r="BM51">
        <v>5480</v>
      </c>
      <c r="BN51">
        <v>0.59</v>
      </c>
      <c r="BO51">
        <v>0</v>
      </c>
      <c r="BP51">
        <v>0</v>
      </c>
      <c r="BR51">
        <v>7820</v>
      </c>
      <c r="BS51">
        <v>3325</v>
      </c>
      <c r="BX51">
        <v>-12117.9</v>
      </c>
      <c r="BY51">
        <v>0</v>
      </c>
      <c r="BZ51">
        <v>0</v>
      </c>
      <c r="CA51">
        <v>-3</v>
      </c>
      <c r="CB51">
        <v>0</v>
      </c>
      <c r="CC51">
        <v>1</v>
      </c>
      <c r="CD51" s="54">
        <v>42095</v>
      </c>
      <c r="CE51" s="54">
        <v>42219</v>
      </c>
      <c r="CF51" s="54">
        <v>42219</v>
      </c>
      <c r="CG51" s="54">
        <v>42331</v>
      </c>
      <c r="CH51" s="54"/>
      <c r="CI51" s="54"/>
      <c r="CJ51">
        <v>1.48</v>
      </c>
      <c r="CK51">
        <v>358884</v>
      </c>
      <c r="CL51">
        <v>0.38</v>
      </c>
      <c r="CM51">
        <v>0.5</v>
      </c>
      <c r="CN51">
        <v>0</v>
      </c>
      <c r="CO51">
        <v>0</v>
      </c>
      <c r="CP51">
        <v>0</v>
      </c>
      <c r="CQ51" t="s">
        <v>1269</v>
      </c>
      <c r="CR51" t="s">
        <v>613</v>
      </c>
      <c r="CS51" t="s">
        <v>1307</v>
      </c>
      <c r="CT51" t="s">
        <v>1268</v>
      </c>
      <c r="CU51" t="s">
        <v>1308</v>
      </c>
      <c r="CV51" t="s">
        <v>1460</v>
      </c>
      <c r="CW51" t="s">
        <v>1343</v>
      </c>
      <c r="CX51" t="s">
        <v>1311</v>
      </c>
      <c r="DC51" t="s">
        <v>1312</v>
      </c>
      <c r="DE51" t="s">
        <v>1313</v>
      </c>
    </row>
    <row r="52" spans="1:109" x14ac:dyDescent="0.25">
      <c r="A52" t="s">
        <v>1027</v>
      </c>
      <c r="B52">
        <v>7</v>
      </c>
      <c r="C52" s="54">
        <v>42331</v>
      </c>
      <c r="D52" t="s">
        <v>1301</v>
      </c>
      <c r="E52" t="s">
        <v>1461</v>
      </c>
      <c r="G52" t="s">
        <v>1462</v>
      </c>
      <c r="H52" t="s">
        <v>1256</v>
      </c>
      <c r="I52" t="s">
        <v>1256</v>
      </c>
      <c r="J52" t="s">
        <v>1256</v>
      </c>
      <c r="K52" t="s">
        <v>1256</v>
      </c>
      <c r="L52">
        <v>1.29</v>
      </c>
      <c r="M52">
        <v>0</v>
      </c>
      <c r="N52">
        <v>0</v>
      </c>
      <c r="O52" s="54">
        <v>0</v>
      </c>
      <c r="P52" s="54">
        <v>0</v>
      </c>
      <c r="Q52">
        <v>6</v>
      </c>
      <c r="R52">
        <v>3</v>
      </c>
      <c r="S52">
        <v>16</v>
      </c>
      <c r="T52">
        <v>12</v>
      </c>
      <c r="U52">
        <v>4</v>
      </c>
      <c r="V52">
        <v>1</v>
      </c>
      <c r="W52" t="s">
        <v>1304</v>
      </c>
      <c r="X52" t="s">
        <v>1305</v>
      </c>
      <c r="Y52">
        <v>17689</v>
      </c>
      <c r="AA52">
        <v>0</v>
      </c>
      <c r="AB52">
        <v>0</v>
      </c>
      <c r="AC52">
        <v>0</v>
      </c>
      <c r="AD52">
        <v>0</v>
      </c>
      <c r="AE52">
        <v>0</v>
      </c>
      <c r="AF52">
        <v>2</v>
      </c>
      <c r="AG52">
        <v>0</v>
      </c>
      <c r="AJ52" s="54"/>
      <c r="AK52" s="54"/>
      <c r="AL52" s="54"/>
      <c r="AO52">
        <v>4000</v>
      </c>
      <c r="AP52" t="s">
        <v>1306</v>
      </c>
      <c r="AS52" t="s">
        <v>1266</v>
      </c>
      <c r="AT52">
        <v>1</v>
      </c>
      <c r="AV52">
        <v>13300</v>
      </c>
      <c r="AW52">
        <v>8845</v>
      </c>
      <c r="AX52">
        <v>4389</v>
      </c>
      <c r="AY52" t="s">
        <v>1259</v>
      </c>
      <c r="AZ52" t="s">
        <v>1261</v>
      </c>
      <c r="BA52">
        <v>13300</v>
      </c>
      <c r="BE52">
        <v>1382</v>
      </c>
      <c r="BF52">
        <v>0.9</v>
      </c>
      <c r="BG52">
        <v>10000</v>
      </c>
      <c r="BH52">
        <v>0</v>
      </c>
      <c r="BI52">
        <v>0</v>
      </c>
      <c r="BJ52">
        <v>0</v>
      </c>
      <c r="BK52">
        <v>0</v>
      </c>
      <c r="BL52">
        <v>0</v>
      </c>
      <c r="BM52">
        <v>11382</v>
      </c>
      <c r="BN52">
        <v>0.14000000000000001</v>
      </c>
      <c r="BO52">
        <v>0</v>
      </c>
      <c r="BP52">
        <v>0</v>
      </c>
      <c r="BR52">
        <v>0</v>
      </c>
      <c r="BS52">
        <v>3325</v>
      </c>
      <c r="BX52">
        <v>-3879.03</v>
      </c>
      <c r="BY52">
        <v>0</v>
      </c>
      <c r="BZ52">
        <v>0</v>
      </c>
      <c r="CA52">
        <v>-3</v>
      </c>
      <c r="CB52">
        <v>0</v>
      </c>
      <c r="CC52">
        <v>1</v>
      </c>
      <c r="CD52" s="54">
        <v>42095</v>
      </c>
      <c r="CE52" s="54">
        <v>42219</v>
      </c>
      <c r="CF52" s="54">
        <v>42219</v>
      </c>
      <c r="CG52" s="54">
        <v>42331</v>
      </c>
      <c r="CH52" s="54"/>
      <c r="CI52" s="54"/>
      <c r="CJ52">
        <v>0.54</v>
      </c>
      <c r="CK52">
        <v>144751</v>
      </c>
      <c r="CL52">
        <v>0.02</v>
      </c>
      <c r="CM52">
        <v>0.61</v>
      </c>
      <c r="CN52">
        <v>0.25</v>
      </c>
      <c r="CO52">
        <v>0</v>
      </c>
      <c r="CP52">
        <v>0</v>
      </c>
      <c r="CQ52" t="s">
        <v>1269</v>
      </c>
      <c r="CR52" t="s">
        <v>613</v>
      </c>
      <c r="CS52" t="s">
        <v>1307</v>
      </c>
      <c r="CT52" t="s">
        <v>1268</v>
      </c>
      <c r="CU52" t="s">
        <v>1308</v>
      </c>
      <c r="CV52" t="s">
        <v>1463</v>
      </c>
      <c r="CW52" t="s">
        <v>1464</v>
      </c>
      <c r="CX52" t="s">
        <v>1311</v>
      </c>
      <c r="DC52" t="s">
        <v>1318</v>
      </c>
      <c r="DE52" t="s">
        <v>1313</v>
      </c>
    </row>
    <row r="53" spans="1:109" x14ac:dyDescent="0.25">
      <c r="A53" t="s">
        <v>1027</v>
      </c>
      <c r="B53">
        <v>7</v>
      </c>
      <c r="C53" s="54">
        <v>42331</v>
      </c>
      <c r="D53" t="s">
        <v>1301</v>
      </c>
      <c r="E53" t="s">
        <v>1465</v>
      </c>
      <c r="G53" t="s">
        <v>758</v>
      </c>
      <c r="H53" t="s">
        <v>1256</v>
      </c>
      <c r="I53" t="s">
        <v>1256</v>
      </c>
      <c r="J53" t="s">
        <v>1256</v>
      </c>
      <c r="K53" t="s">
        <v>1256</v>
      </c>
      <c r="L53">
        <v>0</v>
      </c>
      <c r="M53">
        <v>0</v>
      </c>
      <c r="N53">
        <v>0</v>
      </c>
      <c r="O53" s="54">
        <v>0</v>
      </c>
      <c r="P53" s="54">
        <v>0</v>
      </c>
      <c r="Q53">
        <v>6</v>
      </c>
      <c r="R53">
        <v>3</v>
      </c>
      <c r="S53">
        <v>16</v>
      </c>
      <c r="T53">
        <v>12</v>
      </c>
      <c r="U53">
        <v>4</v>
      </c>
      <c r="V53">
        <v>1</v>
      </c>
      <c r="X53" t="s">
        <v>1305</v>
      </c>
      <c r="AA53">
        <v>0</v>
      </c>
      <c r="AB53">
        <v>0</v>
      </c>
      <c r="AC53">
        <v>0</v>
      </c>
      <c r="AD53">
        <v>0</v>
      </c>
      <c r="AE53">
        <v>0</v>
      </c>
      <c r="AF53">
        <v>0</v>
      </c>
      <c r="AG53">
        <v>0</v>
      </c>
      <c r="AJ53" s="54"/>
      <c r="AK53" s="54"/>
      <c r="AL53" s="54"/>
      <c r="AP53" t="s">
        <v>1306</v>
      </c>
      <c r="AS53" t="s">
        <v>1266</v>
      </c>
      <c r="AT53">
        <v>1</v>
      </c>
      <c r="AV53">
        <v>0</v>
      </c>
      <c r="AW53">
        <v>0</v>
      </c>
      <c r="AX53">
        <v>0</v>
      </c>
      <c r="AY53" t="s">
        <v>1265</v>
      </c>
      <c r="AZ53" t="s">
        <v>1265</v>
      </c>
      <c r="BA53">
        <v>0</v>
      </c>
      <c r="BE53">
        <v>0</v>
      </c>
      <c r="BF53">
        <v>0</v>
      </c>
      <c r="BG53">
        <v>0</v>
      </c>
      <c r="BH53">
        <v>0</v>
      </c>
      <c r="BI53">
        <v>0</v>
      </c>
      <c r="BJ53">
        <v>0</v>
      </c>
      <c r="BK53">
        <v>0</v>
      </c>
      <c r="BL53">
        <v>0</v>
      </c>
      <c r="BM53">
        <v>0</v>
      </c>
      <c r="BN53">
        <v>0</v>
      </c>
      <c r="BO53">
        <v>0</v>
      </c>
      <c r="BP53">
        <v>0</v>
      </c>
      <c r="BR53">
        <v>0</v>
      </c>
      <c r="BS53">
        <v>0</v>
      </c>
      <c r="BX53">
        <v>0</v>
      </c>
      <c r="BY53">
        <v>0</v>
      </c>
      <c r="BZ53">
        <v>0</v>
      </c>
      <c r="CA53">
        <v>0</v>
      </c>
      <c r="CB53">
        <v>0</v>
      </c>
      <c r="CC53">
        <v>1</v>
      </c>
      <c r="CD53" s="54">
        <v>42095</v>
      </c>
      <c r="CE53" s="54">
        <v>42219</v>
      </c>
      <c r="CF53" s="54">
        <v>42219</v>
      </c>
      <c r="CG53" s="54">
        <v>42331</v>
      </c>
      <c r="CH53" s="54"/>
      <c r="CI53" s="54"/>
      <c r="CJ53">
        <v>1</v>
      </c>
      <c r="CK53">
        <v>0</v>
      </c>
      <c r="CL53">
        <v>0.88</v>
      </c>
      <c r="CM53">
        <v>0</v>
      </c>
      <c r="CN53">
        <v>0</v>
      </c>
      <c r="CO53">
        <v>0</v>
      </c>
      <c r="CP53">
        <v>0</v>
      </c>
      <c r="CQ53" t="s">
        <v>1269</v>
      </c>
      <c r="CR53" t="s">
        <v>613</v>
      </c>
      <c r="CS53" t="s">
        <v>1307</v>
      </c>
      <c r="CT53" t="s">
        <v>1268</v>
      </c>
      <c r="CU53" t="s">
        <v>1308</v>
      </c>
      <c r="CV53" t="s">
        <v>1466</v>
      </c>
      <c r="CW53" t="s">
        <v>1464</v>
      </c>
      <c r="CX53" t="s">
        <v>1311</v>
      </c>
      <c r="DC53" t="s">
        <v>1318</v>
      </c>
      <c r="DE53" t="s">
        <v>1313</v>
      </c>
    </row>
    <row r="54" spans="1:109" x14ac:dyDescent="0.25">
      <c r="A54" t="s">
        <v>1027</v>
      </c>
      <c r="B54">
        <v>7</v>
      </c>
      <c r="C54" s="54">
        <v>42331</v>
      </c>
      <c r="D54" t="s">
        <v>1301</v>
      </c>
      <c r="E54" t="s">
        <v>1467</v>
      </c>
      <c r="G54" t="s">
        <v>759</v>
      </c>
      <c r="H54" t="s">
        <v>1256</v>
      </c>
      <c r="I54" t="s">
        <v>1256</v>
      </c>
      <c r="J54" t="s">
        <v>1256</v>
      </c>
      <c r="K54" t="s">
        <v>1256</v>
      </c>
      <c r="L54">
        <v>0</v>
      </c>
      <c r="M54">
        <v>0</v>
      </c>
      <c r="N54">
        <v>0</v>
      </c>
      <c r="O54" s="54">
        <v>0</v>
      </c>
      <c r="P54" s="54">
        <v>0</v>
      </c>
      <c r="Q54">
        <v>6</v>
      </c>
      <c r="R54">
        <v>3</v>
      </c>
      <c r="S54">
        <v>16</v>
      </c>
      <c r="T54">
        <v>12</v>
      </c>
      <c r="U54">
        <v>4</v>
      </c>
      <c r="V54">
        <v>1</v>
      </c>
      <c r="X54" t="s">
        <v>1305</v>
      </c>
      <c r="AA54">
        <v>0</v>
      </c>
      <c r="AB54">
        <v>0</v>
      </c>
      <c r="AC54">
        <v>0</v>
      </c>
      <c r="AD54">
        <v>0</v>
      </c>
      <c r="AE54">
        <v>0</v>
      </c>
      <c r="AF54">
        <v>0</v>
      </c>
      <c r="AG54">
        <v>0</v>
      </c>
      <c r="AJ54" s="54"/>
      <c r="AK54" s="54"/>
      <c r="AL54" s="54"/>
      <c r="AP54" t="s">
        <v>1306</v>
      </c>
      <c r="AS54" t="s">
        <v>1266</v>
      </c>
      <c r="AT54">
        <v>1</v>
      </c>
      <c r="AV54">
        <v>0</v>
      </c>
      <c r="AW54">
        <v>0</v>
      </c>
      <c r="AX54">
        <v>0</v>
      </c>
      <c r="AY54" t="s">
        <v>1265</v>
      </c>
      <c r="AZ54" t="s">
        <v>1265</v>
      </c>
      <c r="BA54">
        <v>0</v>
      </c>
      <c r="BE54">
        <v>0</v>
      </c>
      <c r="BF54">
        <v>0</v>
      </c>
      <c r="BG54">
        <v>0</v>
      </c>
      <c r="BH54">
        <v>0</v>
      </c>
      <c r="BI54">
        <v>0</v>
      </c>
      <c r="BJ54">
        <v>0</v>
      </c>
      <c r="BK54">
        <v>0</v>
      </c>
      <c r="BL54">
        <v>0</v>
      </c>
      <c r="BM54">
        <v>0</v>
      </c>
      <c r="BN54">
        <v>0</v>
      </c>
      <c r="BO54">
        <v>0</v>
      </c>
      <c r="BP54">
        <v>0</v>
      </c>
      <c r="BR54">
        <v>0</v>
      </c>
      <c r="BS54">
        <v>0</v>
      </c>
      <c r="BX54">
        <v>0</v>
      </c>
      <c r="BY54">
        <v>0</v>
      </c>
      <c r="BZ54">
        <v>0</v>
      </c>
      <c r="CA54">
        <v>0</v>
      </c>
      <c r="CB54">
        <v>0</v>
      </c>
      <c r="CC54">
        <v>1</v>
      </c>
      <c r="CD54" s="54">
        <v>42095</v>
      </c>
      <c r="CE54" s="54">
        <v>42219</v>
      </c>
      <c r="CF54" s="54">
        <v>42219</v>
      </c>
      <c r="CG54" s="54">
        <v>42331</v>
      </c>
      <c r="CH54" s="54"/>
      <c r="CI54" s="54"/>
      <c r="CJ54">
        <v>1</v>
      </c>
      <c r="CK54">
        <v>0</v>
      </c>
      <c r="CL54">
        <v>0.88</v>
      </c>
      <c r="CM54">
        <v>0</v>
      </c>
      <c r="CN54">
        <v>0</v>
      </c>
      <c r="CO54">
        <v>0</v>
      </c>
      <c r="CP54">
        <v>0</v>
      </c>
      <c r="CQ54" t="s">
        <v>1269</v>
      </c>
      <c r="CR54" t="s">
        <v>613</v>
      </c>
      <c r="CS54" t="s">
        <v>1307</v>
      </c>
      <c r="CT54" t="s">
        <v>1268</v>
      </c>
      <c r="CU54" t="s">
        <v>1308</v>
      </c>
      <c r="CV54" t="s">
        <v>1468</v>
      </c>
      <c r="CW54" t="s">
        <v>1343</v>
      </c>
      <c r="CX54" t="s">
        <v>1311</v>
      </c>
      <c r="DC54" t="s">
        <v>1312</v>
      </c>
      <c r="DE54" t="s">
        <v>1313</v>
      </c>
    </row>
    <row r="55" spans="1:109" x14ac:dyDescent="0.25">
      <c r="A55" t="s">
        <v>1027</v>
      </c>
      <c r="B55">
        <v>7</v>
      </c>
      <c r="C55" s="54">
        <v>42331</v>
      </c>
      <c r="D55" t="s">
        <v>1301</v>
      </c>
      <c r="E55" t="s">
        <v>1469</v>
      </c>
      <c r="G55" t="s">
        <v>1470</v>
      </c>
      <c r="H55" t="s">
        <v>1256</v>
      </c>
      <c r="I55" t="s">
        <v>1256</v>
      </c>
      <c r="J55" t="s">
        <v>1256</v>
      </c>
      <c r="K55" t="s">
        <v>1256</v>
      </c>
      <c r="L55">
        <v>1.52</v>
      </c>
      <c r="M55">
        <v>0</v>
      </c>
      <c r="N55">
        <v>0</v>
      </c>
      <c r="O55" s="54">
        <v>0</v>
      </c>
      <c r="P55" s="54">
        <v>0</v>
      </c>
      <c r="Q55">
        <v>6</v>
      </c>
      <c r="R55">
        <v>3</v>
      </c>
      <c r="S55">
        <v>16</v>
      </c>
      <c r="T55">
        <v>12</v>
      </c>
      <c r="U55">
        <v>4</v>
      </c>
      <c r="V55">
        <v>1</v>
      </c>
      <c r="X55" t="s">
        <v>1305</v>
      </c>
      <c r="AA55">
        <v>0</v>
      </c>
      <c r="AB55">
        <v>0</v>
      </c>
      <c r="AC55">
        <v>0</v>
      </c>
      <c r="AD55">
        <v>0</v>
      </c>
      <c r="AE55">
        <v>0</v>
      </c>
      <c r="AF55">
        <v>0</v>
      </c>
      <c r="AG55">
        <v>0</v>
      </c>
      <c r="AJ55" s="54"/>
      <c r="AK55" s="54"/>
      <c r="AL55" s="54"/>
      <c r="AP55" t="s">
        <v>1306</v>
      </c>
      <c r="AS55" t="s">
        <v>1266</v>
      </c>
      <c r="AT55">
        <v>1</v>
      </c>
      <c r="AV55">
        <v>0</v>
      </c>
      <c r="AW55">
        <v>0</v>
      </c>
      <c r="AX55">
        <v>0</v>
      </c>
      <c r="AY55" t="s">
        <v>1265</v>
      </c>
      <c r="AZ55" t="s">
        <v>1265</v>
      </c>
      <c r="BA55">
        <v>0</v>
      </c>
      <c r="BE55">
        <v>0</v>
      </c>
      <c r="BF55">
        <v>0</v>
      </c>
      <c r="BG55">
        <v>0</v>
      </c>
      <c r="BH55">
        <v>0</v>
      </c>
      <c r="BI55">
        <v>0</v>
      </c>
      <c r="BJ55">
        <v>0</v>
      </c>
      <c r="BK55">
        <v>0</v>
      </c>
      <c r="BL55">
        <v>0</v>
      </c>
      <c r="BM55">
        <v>0</v>
      </c>
      <c r="BN55">
        <v>0</v>
      </c>
      <c r="BO55">
        <v>0</v>
      </c>
      <c r="BP55">
        <v>0</v>
      </c>
      <c r="BR55">
        <v>0</v>
      </c>
      <c r="BS55">
        <v>0</v>
      </c>
      <c r="BX55">
        <v>0</v>
      </c>
      <c r="BY55">
        <v>0</v>
      </c>
      <c r="BZ55">
        <v>0</v>
      </c>
      <c r="CA55">
        <v>0</v>
      </c>
      <c r="CB55">
        <v>0</v>
      </c>
      <c r="CC55">
        <v>1</v>
      </c>
      <c r="CD55" s="54">
        <v>42095</v>
      </c>
      <c r="CE55" s="54">
        <v>42219</v>
      </c>
      <c r="CF55" s="54">
        <v>42219</v>
      </c>
      <c r="CG55" s="54">
        <v>42331</v>
      </c>
      <c r="CH55" s="54"/>
      <c r="CI55" s="54"/>
      <c r="CJ55">
        <v>1</v>
      </c>
      <c r="CK55">
        <v>0</v>
      </c>
      <c r="CL55">
        <v>0.88</v>
      </c>
      <c r="CM55">
        <v>0</v>
      </c>
      <c r="CN55">
        <v>0</v>
      </c>
      <c r="CO55">
        <v>0</v>
      </c>
      <c r="CP55">
        <v>0</v>
      </c>
      <c r="CQ55" t="s">
        <v>1269</v>
      </c>
      <c r="CR55" t="s">
        <v>613</v>
      </c>
      <c r="CS55" t="s">
        <v>1307</v>
      </c>
      <c r="CT55" t="s">
        <v>1268</v>
      </c>
      <c r="CU55" t="s">
        <v>1308</v>
      </c>
      <c r="CV55" t="s">
        <v>1471</v>
      </c>
      <c r="CW55" t="s">
        <v>1321</v>
      </c>
      <c r="CX55" t="s">
        <v>1311</v>
      </c>
      <c r="DC55" t="s">
        <v>1312</v>
      </c>
      <c r="DE55" t="s">
        <v>1313</v>
      </c>
    </row>
    <row r="56" spans="1:109" x14ac:dyDescent="0.25">
      <c r="A56" t="s">
        <v>1027</v>
      </c>
      <c r="B56">
        <v>7</v>
      </c>
      <c r="C56" s="54">
        <v>42331</v>
      </c>
      <c r="D56" t="s">
        <v>1301</v>
      </c>
      <c r="E56" t="s">
        <v>1290</v>
      </c>
      <c r="G56" t="s">
        <v>1472</v>
      </c>
      <c r="H56" t="s">
        <v>1256</v>
      </c>
      <c r="I56" t="s">
        <v>1256</v>
      </c>
      <c r="J56" t="s">
        <v>1256</v>
      </c>
      <c r="K56" t="s">
        <v>1256</v>
      </c>
      <c r="L56">
        <v>3.6</v>
      </c>
      <c r="M56">
        <v>0</v>
      </c>
      <c r="N56">
        <v>0</v>
      </c>
      <c r="O56" s="54">
        <v>0</v>
      </c>
      <c r="P56" s="54">
        <v>0</v>
      </c>
      <c r="Q56">
        <v>6</v>
      </c>
      <c r="R56">
        <v>3</v>
      </c>
      <c r="S56">
        <v>16</v>
      </c>
      <c r="T56">
        <v>12</v>
      </c>
      <c r="U56">
        <v>4</v>
      </c>
      <c r="V56">
        <v>1</v>
      </c>
      <c r="W56" t="s">
        <v>1257</v>
      </c>
      <c r="X56" t="s">
        <v>1315</v>
      </c>
      <c r="AA56">
        <v>0</v>
      </c>
      <c r="AB56">
        <v>0</v>
      </c>
      <c r="AC56">
        <v>0</v>
      </c>
      <c r="AD56">
        <v>0</v>
      </c>
      <c r="AE56">
        <v>0</v>
      </c>
      <c r="AF56">
        <v>100</v>
      </c>
      <c r="AG56">
        <v>0</v>
      </c>
      <c r="AJ56" s="54"/>
      <c r="AK56" s="54"/>
      <c r="AL56" s="54"/>
      <c r="AP56" t="s">
        <v>1306</v>
      </c>
      <c r="AS56" t="s">
        <v>1266</v>
      </c>
      <c r="AT56">
        <v>1</v>
      </c>
      <c r="AV56">
        <v>5000</v>
      </c>
      <c r="AW56">
        <v>3325</v>
      </c>
      <c r="AX56">
        <v>1650</v>
      </c>
      <c r="AY56" t="s">
        <v>839</v>
      </c>
      <c r="AZ56" t="s">
        <v>839</v>
      </c>
      <c r="BA56">
        <v>4000</v>
      </c>
      <c r="BE56">
        <v>0</v>
      </c>
      <c r="BF56">
        <v>1</v>
      </c>
      <c r="BG56">
        <v>0</v>
      </c>
      <c r="BH56">
        <v>0</v>
      </c>
      <c r="BI56">
        <v>0</v>
      </c>
      <c r="BJ56">
        <v>0</v>
      </c>
      <c r="BK56">
        <v>0</v>
      </c>
      <c r="BL56">
        <v>0</v>
      </c>
      <c r="BM56">
        <v>0</v>
      </c>
      <c r="BN56">
        <v>1</v>
      </c>
      <c r="BO56">
        <v>0</v>
      </c>
      <c r="BP56">
        <v>0</v>
      </c>
      <c r="BR56">
        <v>5000</v>
      </c>
      <c r="BS56">
        <v>1250</v>
      </c>
      <c r="BX56">
        <v>-5940</v>
      </c>
      <c r="BY56">
        <v>0</v>
      </c>
      <c r="BZ56">
        <v>0</v>
      </c>
      <c r="CA56">
        <v>-3</v>
      </c>
      <c r="CB56">
        <v>0</v>
      </c>
      <c r="CC56">
        <v>1</v>
      </c>
      <c r="CD56" s="54">
        <v>42230</v>
      </c>
      <c r="CE56" s="54">
        <v>42230</v>
      </c>
      <c r="CF56" s="54">
        <v>42230</v>
      </c>
      <c r="CG56" s="54">
        <v>42342</v>
      </c>
      <c r="CH56" s="54"/>
      <c r="CI56" s="54"/>
      <c r="CJ56">
        <v>1</v>
      </c>
      <c r="CK56">
        <v>0</v>
      </c>
      <c r="CL56">
        <v>0.87</v>
      </c>
      <c r="CM56">
        <v>0</v>
      </c>
      <c r="CN56">
        <v>0</v>
      </c>
      <c r="CO56">
        <v>0</v>
      </c>
      <c r="CP56">
        <v>0</v>
      </c>
      <c r="CQ56" t="s">
        <v>1269</v>
      </c>
      <c r="CR56" t="s">
        <v>613</v>
      </c>
      <c r="CS56" t="s">
        <v>1307</v>
      </c>
      <c r="CT56" t="s">
        <v>1268</v>
      </c>
      <c r="CU56" t="s">
        <v>1308</v>
      </c>
      <c r="CV56" t="s">
        <v>1473</v>
      </c>
      <c r="CW56" t="s">
        <v>1321</v>
      </c>
      <c r="CX56" t="s">
        <v>1311</v>
      </c>
      <c r="DC56" t="s">
        <v>1312</v>
      </c>
      <c r="DE56" t="s">
        <v>1313</v>
      </c>
    </row>
    <row r="57" spans="1:109" x14ac:dyDescent="0.25">
      <c r="A57" t="s">
        <v>1027</v>
      </c>
      <c r="B57">
        <v>7</v>
      </c>
      <c r="C57" s="54">
        <v>42331</v>
      </c>
      <c r="D57" t="s">
        <v>1301</v>
      </c>
      <c r="E57" t="s">
        <v>1474</v>
      </c>
      <c r="G57" t="s">
        <v>790</v>
      </c>
      <c r="H57" t="s">
        <v>1256</v>
      </c>
      <c r="I57" t="s">
        <v>1256</v>
      </c>
      <c r="J57" t="s">
        <v>1256</v>
      </c>
      <c r="K57" t="s">
        <v>1256</v>
      </c>
      <c r="L57">
        <v>0</v>
      </c>
      <c r="M57">
        <v>0</v>
      </c>
      <c r="N57">
        <v>0</v>
      </c>
      <c r="O57" s="54">
        <v>0</v>
      </c>
      <c r="P57" s="54">
        <v>0</v>
      </c>
      <c r="Q57">
        <v>6</v>
      </c>
      <c r="R57">
        <v>3</v>
      </c>
      <c r="S57">
        <v>16</v>
      </c>
      <c r="T57">
        <v>12</v>
      </c>
      <c r="U57">
        <v>4</v>
      </c>
      <c r="V57">
        <v>1</v>
      </c>
      <c r="X57" t="s">
        <v>1305</v>
      </c>
      <c r="AA57">
        <v>0</v>
      </c>
      <c r="AB57">
        <v>0</v>
      </c>
      <c r="AC57">
        <v>0</v>
      </c>
      <c r="AD57">
        <v>0</v>
      </c>
      <c r="AE57">
        <v>0</v>
      </c>
      <c r="AF57">
        <v>0</v>
      </c>
      <c r="AG57">
        <v>0</v>
      </c>
      <c r="AJ57" s="54"/>
      <c r="AK57" s="54"/>
      <c r="AL57" s="54"/>
      <c r="AP57" t="s">
        <v>1306</v>
      </c>
      <c r="AS57" t="s">
        <v>1266</v>
      </c>
      <c r="AT57">
        <v>1</v>
      </c>
      <c r="AV57">
        <v>0</v>
      </c>
      <c r="AW57">
        <v>0</v>
      </c>
      <c r="AX57">
        <v>0</v>
      </c>
      <c r="AY57" t="s">
        <v>1265</v>
      </c>
      <c r="AZ57" t="s">
        <v>1265</v>
      </c>
      <c r="BA57">
        <v>0</v>
      </c>
      <c r="BE57">
        <v>0</v>
      </c>
      <c r="BF57">
        <v>0</v>
      </c>
      <c r="BG57">
        <v>0</v>
      </c>
      <c r="BH57">
        <v>0</v>
      </c>
      <c r="BI57">
        <v>0</v>
      </c>
      <c r="BJ57">
        <v>0</v>
      </c>
      <c r="BK57">
        <v>0</v>
      </c>
      <c r="BL57">
        <v>0</v>
      </c>
      <c r="BM57">
        <v>0</v>
      </c>
      <c r="BN57">
        <v>0</v>
      </c>
      <c r="BO57">
        <v>0</v>
      </c>
      <c r="BP57">
        <v>0</v>
      </c>
      <c r="BR57">
        <v>0</v>
      </c>
      <c r="BS57">
        <v>0</v>
      </c>
      <c r="BX57">
        <v>0</v>
      </c>
      <c r="BY57">
        <v>0</v>
      </c>
      <c r="BZ57">
        <v>0</v>
      </c>
      <c r="CA57">
        <v>0</v>
      </c>
      <c r="CB57">
        <v>0</v>
      </c>
      <c r="CC57">
        <v>1</v>
      </c>
      <c r="CD57" s="54">
        <v>42095</v>
      </c>
      <c r="CE57" s="54">
        <v>42219</v>
      </c>
      <c r="CF57" s="54">
        <v>42219</v>
      </c>
      <c r="CG57" s="54">
        <v>42331</v>
      </c>
      <c r="CH57" s="54"/>
      <c r="CI57" s="54"/>
      <c r="CJ57">
        <v>1</v>
      </c>
      <c r="CK57">
        <v>0</v>
      </c>
      <c r="CL57">
        <v>0.88</v>
      </c>
      <c r="CM57">
        <v>0</v>
      </c>
      <c r="CN57">
        <v>0</v>
      </c>
      <c r="CO57">
        <v>0</v>
      </c>
      <c r="CP57">
        <v>0</v>
      </c>
      <c r="CQ57" t="s">
        <v>1269</v>
      </c>
      <c r="CR57" t="s">
        <v>613</v>
      </c>
      <c r="CS57" t="s">
        <v>1307</v>
      </c>
      <c r="CT57" t="s">
        <v>1268</v>
      </c>
      <c r="CU57" t="s">
        <v>1308</v>
      </c>
      <c r="CV57" t="s">
        <v>1475</v>
      </c>
      <c r="CW57" t="s">
        <v>613</v>
      </c>
      <c r="CX57" t="s">
        <v>1378</v>
      </c>
      <c r="DC57" t="s">
        <v>1379</v>
      </c>
      <c r="DE57" t="s">
        <v>1313</v>
      </c>
    </row>
    <row r="58" spans="1:109" x14ac:dyDescent="0.25">
      <c r="A58" t="s">
        <v>1027</v>
      </c>
      <c r="B58">
        <v>7</v>
      </c>
      <c r="C58" s="54">
        <v>42331</v>
      </c>
      <c r="D58" t="s">
        <v>1301</v>
      </c>
      <c r="E58" t="s">
        <v>1291</v>
      </c>
      <c r="G58" t="s">
        <v>1476</v>
      </c>
      <c r="H58" t="s">
        <v>1256</v>
      </c>
      <c r="I58" t="s">
        <v>1256</v>
      </c>
      <c r="J58" t="s">
        <v>1256</v>
      </c>
      <c r="K58" t="s">
        <v>1256</v>
      </c>
      <c r="L58">
        <v>0</v>
      </c>
      <c r="M58">
        <v>0</v>
      </c>
      <c r="N58">
        <v>0</v>
      </c>
      <c r="O58" s="54">
        <v>0</v>
      </c>
      <c r="P58" s="54">
        <v>0</v>
      </c>
      <c r="Q58">
        <v>6</v>
      </c>
      <c r="R58">
        <v>3</v>
      </c>
      <c r="S58">
        <v>16</v>
      </c>
      <c r="T58">
        <v>12</v>
      </c>
      <c r="U58">
        <v>4</v>
      </c>
      <c r="V58">
        <v>1</v>
      </c>
      <c r="W58" t="s">
        <v>1304</v>
      </c>
      <c r="X58" t="s">
        <v>1305</v>
      </c>
      <c r="Y58">
        <v>8845</v>
      </c>
      <c r="AA58">
        <v>0</v>
      </c>
      <c r="AB58">
        <v>0</v>
      </c>
      <c r="AC58">
        <v>0</v>
      </c>
      <c r="AD58">
        <v>0</v>
      </c>
      <c r="AE58">
        <v>0</v>
      </c>
      <c r="AF58">
        <v>100</v>
      </c>
      <c r="AG58">
        <v>0</v>
      </c>
      <c r="AJ58" s="54"/>
      <c r="AK58" s="54"/>
      <c r="AL58" s="54"/>
      <c r="AP58" t="s">
        <v>1306</v>
      </c>
      <c r="AS58" t="s">
        <v>1266</v>
      </c>
      <c r="AT58">
        <v>1</v>
      </c>
      <c r="AV58">
        <v>6650</v>
      </c>
      <c r="AW58">
        <v>4422</v>
      </c>
      <c r="AX58">
        <v>2195</v>
      </c>
      <c r="AY58" t="s">
        <v>839</v>
      </c>
      <c r="AZ58" t="s">
        <v>1261</v>
      </c>
      <c r="BA58">
        <v>6650</v>
      </c>
      <c r="BE58">
        <v>0</v>
      </c>
      <c r="BF58">
        <v>1</v>
      </c>
      <c r="BG58">
        <v>5000</v>
      </c>
      <c r="BH58">
        <v>0</v>
      </c>
      <c r="BI58">
        <v>0</v>
      </c>
      <c r="BJ58">
        <v>0</v>
      </c>
      <c r="BK58">
        <v>0</v>
      </c>
      <c r="BL58">
        <v>0</v>
      </c>
      <c r="BM58">
        <v>5000</v>
      </c>
      <c r="BN58">
        <v>0.25</v>
      </c>
      <c r="BO58">
        <v>0</v>
      </c>
      <c r="BP58">
        <v>0</v>
      </c>
      <c r="BR58">
        <v>1650</v>
      </c>
      <c r="BS58">
        <v>1663</v>
      </c>
      <c r="BX58">
        <v>0</v>
      </c>
      <c r="BY58">
        <v>0</v>
      </c>
      <c r="BZ58">
        <v>0</v>
      </c>
      <c r="CA58">
        <v>0</v>
      </c>
      <c r="CB58">
        <v>0</v>
      </c>
      <c r="CC58">
        <v>1</v>
      </c>
      <c r="CD58" s="54">
        <v>42095</v>
      </c>
      <c r="CE58" s="54">
        <v>42219</v>
      </c>
      <c r="CF58" s="54">
        <v>42219</v>
      </c>
      <c r="CG58" s="54">
        <v>42331</v>
      </c>
      <c r="CH58" s="54"/>
      <c r="CI58" s="54"/>
      <c r="CJ58">
        <v>1</v>
      </c>
      <c r="CK58">
        <v>210720</v>
      </c>
      <c r="CL58">
        <v>0.88</v>
      </c>
      <c r="CM58">
        <v>0</v>
      </c>
      <c r="CN58">
        <v>0</v>
      </c>
      <c r="CO58">
        <v>0</v>
      </c>
      <c r="CP58">
        <v>0</v>
      </c>
      <c r="CQ58" t="s">
        <v>1269</v>
      </c>
      <c r="CR58" t="s">
        <v>613</v>
      </c>
      <c r="CS58" t="s">
        <v>1307</v>
      </c>
      <c r="CT58" t="s">
        <v>1268</v>
      </c>
      <c r="CU58" t="s">
        <v>1308</v>
      </c>
      <c r="CV58" t="s">
        <v>1477</v>
      </c>
      <c r="CW58" t="s">
        <v>613</v>
      </c>
      <c r="CX58" t="s">
        <v>1378</v>
      </c>
      <c r="DC58" t="s">
        <v>1379</v>
      </c>
      <c r="DE58" t="s">
        <v>1313</v>
      </c>
    </row>
    <row r="59" spans="1:109" x14ac:dyDescent="0.25">
      <c r="A59" t="s">
        <v>1027</v>
      </c>
      <c r="B59">
        <v>7</v>
      </c>
      <c r="C59" s="54">
        <v>42331</v>
      </c>
      <c r="D59" t="s">
        <v>1301</v>
      </c>
      <c r="E59" t="s">
        <v>1478</v>
      </c>
      <c r="G59" t="s">
        <v>792</v>
      </c>
      <c r="H59" t="s">
        <v>1256</v>
      </c>
      <c r="I59" t="s">
        <v>1256</v>
      </c>
      <c r="J59" t="s">
        <v>1256</v>
      </c>
      <c r="K59" t="s">
        <v>1256</v>
      </c>
      <c r="L59">
        <v>0</v>
      </c>
      <c r="M59">
        <v>0</v>
      </c>
      <c r="N59">
        <v>0</v>
      </c>
      <c r="O59" s="54">
        <v>0</v>
      </c>
      <c r="P59" s="54">
        <v>0</v>
      </c>
      <c r="Q59">
        <v>6</v>
      </c>
      <c r="R59">
        <v>3</v>
      </c>
      <c r="S59">
        <v>16</v>
      </c>
      <c r="T59">
        <v>12</v>
      </c>
      <c r="U59">
        <v>4</v>
      </c>
      <c r="V59">
        <v>1</v>
      </c>
      <c r="X59" t="s">
        <v>1305</v>
      </c>
      <c r="AA59">
        <v>0</v>
      </c>
      <c r="AB59">
        <v>0</v>
      </c>
      <c r="AC59">
        <v>0</v>
      </c>
      <c r="AD59">
        <v>0</v>
      </c>
      <c r="AE59">
        <v>0</v>
      </c>
      <c r="AF59">
        <v>0</v>
      </c>
      <c r="AG59">
        <v>0</v>
      </c>
      <c r="AJ59" s="54"/>
      <c r="AK59" s="54"/>
      <c r="AL59" s="54"/>
      <c r="AP59" t="s">
        <v>1306</v>
      </c>
      <c r="AS59" t="s">
        <v>1266</v>
      </c>
      <c r="AT59">
        <v>1</v>
      </c>
      <c r="AV59">
        <v>0</v>
      </c>
      <c r="AW59">
        <v>0</v>
      </c>
      <c r="AX59">
        <v>0</v>
      </c>
      <c r="AY59" t="s">
        <v>1265</v>
      </c>
      <c r="AZ59" t="s">
        <v>1265</v>
      </c>
      <c r="BA59">
        <v>0</v>
      </c>
      <c r="BE59">
        <v>0</v>
      </c>
      <c r="BF59">
        <v>0</v>
      </c>
      <c r="BG59">
        <v>0</v>
      </c>
      <c r="BH59">
        <v>0</v>
      </c>
      <c r="BI59">
        <v>0</v>
      </c>
      <c r="BJ59">
        <v>0</v>
      </c>
      <c r="BK59">
        <v>0</v>
      </c>
      <c r="BL59">
        <v>0</v>
      </c>
      <c r="BM59">
        <v>0</v>
      </c>
      <c r="BN59">
        <v>0</v>
      </c>
      <c r="BO59">
        <v>0</v>
      </c>
      <c r="BP59">
        <v>0</v>
      </c>
      <c r="BR59">
        <v>0</v>
      </c>
      <c r="BS59">
        <v>0</v>
      </c>
      <c r="BX59">
        <v>0</v>
      </c>
      <c r="BY59">
        <v>0</v>
      </c>
      <c r="BZ59">
        <v>0</v>
      </c>
      <c r="CA59">
        <v>0</v>
      </c>
      <c r="CB59">
        <v>0</v>
      </c>
      <c r="CC59">
        <v>1</v>
      </c>
      <c r="CD59" s="54">
        <v>42095</v>
      </c>
      <c r="CE59" s="54">
        <v>42219</v>
      </c>
      <c r="CF59" s="54">
        <v>42219</v>
      </c>
      <c r="CG59" s="54">
        <v>42331</v>
      </c>
      <c r="CH59" s="54"/>
      <c r="CI59" s="54"/>
      <c r="CJ59">
        <v>1</v>
      </c>
      <c r="CK59">
        <v>0</v>
      </c>
      <c r="CL59">
        <v>0.88</v>
      </c>
      <c r="CM59">
        <v>0</v>
      </c>
      <c r="CN59">
        <v>0</v>
      </c>
      <c r="CO59">
        <v>0</v>
      </c>
      <c r="CP59">
        <v>0</v>
      </c>
      <c r="CQ59" t="s">
        <v>1269</v>
      </c>
      <c r="CR59" t="s">
        <v>613</v>
      </c>
      <c r="CS59" t="s">
        <v>1307</v>
      </c>
      <c r="CT59" t="s">
        <v>1268</v>
      </c>
      <c r="CU59" t="s">
        <v>1308</v>
      </c>
      <c r="CV59" t="s">
        <v>1479</v>
      </c>
      <c r="CW59" t="s">
        <v>613</v>
      </c>
      <c r="CX59" t="s">
        <v>1378</v>
      </c>
      <c r="DC59" t="s">
        <v>1379</v>
      </c>
      <c r="DE59" t="s">
        <v>1380</v>
      </c>
    </row>
    <row r="60" spans="1:109" x14ac:dyDescent="0.25">
      <c r="A60" t="s">
        <v>1027</v>
      </c>
      <c r="B60">
        <v>7</v>
      </c>
      <c r="C60" s="54">
        <v>42331</v>
      </c>
      <c r="D60" t="s">
        <v>1301</v>
      </c>
      <c r="E60" t="s">
        <v>1292</v>
      </c>
      <c r="G60" t="s">
        <v>1480</v>
      </c>
      <c r="H60" t="s">
        <v>1256</v>
      </c>
      <c r="I60" t="s">
        <v>1256</v>
      </c>
      <c r="J60" t="s">
        <v>1256</v>
      </c>
      <c r="K60" t="s">
        <v>1256</v>
      </c>
      <c r="L60">
        <v>0.22</v>
      </c>
      <c r="M60">
        <v>0</v>
      </c>
      <c r="N60">
        <v>0</v>
      </c>
      <c r="O60" s="54">
        <v>0</v>
      </c>
      <c r="P60" s="54">
        <v>0</v>
      </c>
      <c r="Q60">
        <v>6</v>
      </c>
      <c r="R60">
        <v>3</v>
      </c>
      <c r="S60">
        <v>16</v>
      </c>
      <c r="T60">
        <v>12</v>
      </c>
      <c r="U60">
        <v>4</v>
      </c>
      <c r="V60">
        <v>1</v>
      </c>
      <c r="W60" t="s">
        <v>1304</v>
      </c>
      <c r="X60" t="s">
        <v>1305</v>
      </c>
      <c r="Y60">
        <v>17689</v>
      </c>
      <c r="AA60">
        <v>0</v>
      </c>
      <c r="AB60">
        <v>0</v>
      </c>
      <c r="AC60">
        <v>0</v>
      </c>
      <c r="AD60">
        <v>0</v>
      </c>
      <c r="AE60">
        <v>0</v>
      </c>
      <c r="AF60">
        <v>25</v>
      </c>
      <c r="AG60">
        <v>0</v>
      </c>
      <c r="AJ60" s="54"/>
      <c r="AK60" s="54"/>
      <c r="AL60" s="54"/>
      <c r="AP60" t="s">
        <v>1306</v>
      </c>
      <c r="AS60" t="s">
        <v>1266</v>
      </c>
      <c r="AT60">
        <v>1</v>
      </c>
      <c r="AV60">
        <v>13300</v>
      </c>
      <c r="AW60">
        <v>8845</v>
      </c>
      <c r="AX60">
        <v>4389</v>
      </c>
      <c r="AY60" t="s">
        <v>1259</v>
      </c>
      <c r="AZ60" t="s">
        <v>1258</v>
      </c>
      <c r="BA60">
        <v>13300</v>
      </c>
      <c r="BE60">
        <v>764</v>
      </c>
      <c r="BF60">
        <v>0.94</v>
      </c>
      <c r="BG60">
        <v>5408</v>
      </c>
      <c r="BH60">
        <v>0</v>
      </c>
      <c r="BI60">
        <v>0</v>
      </c>
      <c r="BJ60">
        <v>0</v>
      </c>
      <c r="BK60">
        <v>0</v>
      </c>
      <c r="BL60">
        <v>0</v>
      </c>
      <c r="BM60">
        <v>6172</v>
      </c>
      <c r="BN60">
        <v>0.54</v>
      </c>
      <c r="BO60">
        <v>0</v>
      </c>
      <c r="BP60">
        <v>0</v>
      </c>
      <c r="BR60">
        <v>7128</v>
      </c>
      <c r="BS60">
        <v>3325</v>
      </c>
      <c r="BX60">
        <v>-797.5</v>
      </c>
      <c r="BY60">
        <v>0</v>
      </c>
      <c r="BZ60">
        <v>0</v>
      </c>
      <c r="CA60">
        <v>-3</v>
      </c>
      <c r="CB60">
        <v>0</v>
      </c>
      <c r="CC60">
        <v>1</v>
      </c>
      <c r="CD60" s="54">
        <v>42095</v>
      </c>
      <c r="CE60" s="54">
        <v>42219</v>
      </c>
      <c r="CF60" s="54">
        <v>42219</v>
      </c>
      <c r="CG60" s="54">
        <v>42331</v>
      </c>
      <c r="CH60" s="54"/>
      <c r="CI60" s="54"/>
      <c r="CJ60">
        <v>0.97</v>
      </c>
      <c r="CK60">
        <v>296822</v>
      </c>
      <c r="CL60">
        <v>0.23</v>
      </c>
      <c r="CM60">
        <v>0.65</v>
      </c>
      <c r="CN60">
        <v>0</v>
      </c>
      <c r="CO60">
        <v>0</v>
      </c>
      <c r="CP60">
        <v>0</v>
      </c>
      <c r="CQ60" t="s">
        <v>1269</v>
      </c>
      <c r="CR60" t="s">
        <v>613</v>
      </c>
      <c r="CS60" t="s">
        <v>1307</v>
      </c>
      <c r="CT60" t="s">
        <v>1268</v>
      </c>
      <c r="CU60" t="s">
        <v>1308</v>
      </c>
      <c r="CV60" t="s">
        <v>1481</v>
      </c>
      <c r="CW60" t="s">
        <v>1390</v>
      </c>
      <c r="CX60" t="s">
        <v>1378</v>
      </c>
      <c r="DC60" t="s">
        <v>1391</v>
      </c>
      <c r="DE60" t="s">
        <v>1313</v>
      </c>
    </row>
    <row r="61" spans="1:109" x14ac:dyDescent="0.25">
      <c r="A61" t="s">
        <v>1027</v>
      </c>
      <c r="B61">
        <v>7</v>
      </c>
      <c r="C61" s="54">
        <v>42331</v>
      </c>
      <c r="D61" t="s">
        <v>1301</v>
      </c>
      <c r="E61" t="s">
        <v>1293</v>
      </c>
      <c r="G61" t="s">
        <v>1482</v>
      </c>
      <c r="H61" t="s">
        <v>1256</v>
      </c>
      <c r="I61" t="s">
        <v>1256</v>
      </c>
      <c r="J61" t="s">
        <v>1256</v>
      </c>
      <c r="K61" t="s">
        <v>1256</v>
      </c>
      <c r="L61">
        <v>0.36</v>
      </c>
      <c r="M61">
        <v>0</v>
      </c>
      <c r="N61">
        <v>0</v>
      </c>
      <c r="O61" s="54">
        <v>0</v>
      </c>
      <c r="P61" s="54">
        <v>0</v>
      </c>
      <c r="Q61">
        <v>6</v>
      </c>
      <c r="R61">
        <v>3</v>
      </c>
      <c r="S61">
        <v>16</v>
      </c>
      <c r="T61">
        <v>12</v>
      </c>
      <c r="U61">
        <v>4</v>
      </c>
      <c r="V61">
        <v>1</v>
      </c>
      <c r="W61" t="s">
        <v>1304</v>
      </c>
      <c r="X61" t="s">
        <v>1305</v>
      </c>
      <c r="Y61">
        <v>21227</v>
      </c>
      <c r="AA61">
        <v>0</v>
      </c>
      <c r="AB61">
        <v>0</v>
      </c>
      <c r="AC61">
        <v>0</v>
      </c>
      <c r="AD61">
        <v>0</v>
      </c>
      <c r="AE61">
        <v>0</v>
      </c>
      <c r="AF61">
        <v>2</v>
      </c>
      <c r="AG61">
        <v>0</v>
      </c>
      <c r="AJ61" s="54"/>
      <c r="AK61" s="54"/>
      <c r="AL61" s="54"/>
      <c r="AP61" t="s">
        <v>1306</v>
      </c>
      <c r="AS61" t="s">
        <v>1266</v>
      </c>
      <c r="AT61">
        <v>1</v>
      </c>
      <c r="AV61">
        <v>15960</v>
      </c>
      <c r="AW61">
        <v>10613</v>
      </c>
      <c r="AX61">
        <v>5267</v>
      </c>
      <c r="AY61" t="s">
        <v>1258</v>
      </c>
      <c r="AZ61" t="s">
        <v>1258</v>
      </c>
      <c r="BA61">
        <v>15960</v>
      </c>
      <c r="BE61">
        <v>6676</v>
      </c>
      <c r="BF61">
        <v>0.57999999999999996</v>
      </c>
      <c r="BG61">
        <v>0</v>
      </c>
      <c r="BH61">
        <v>0</v>
      </c>
      <c r="BI61">
        <v>0</v>
      </c>
      <c r="BJ61">
        <v>0</v>
      </c>
      <c r="BK61">
        <v>0</v>
      </c>
      <c r="BL61">
        <v>0</v>
      </c>
      <c r="BM61">
        <v>6676</v>
      </c>
      <c r="BN61">
        <v>0.57999999999999996</v>
      </c>
      <c r="BO61">
        <v>0</v>
      </c>
      <c r="BP61">
        <v>0</v>
      </c>
      <c r="BR61">
        <v>9284</v>
      </c>
      <c r="BS61">
        <v>3990</v>
      </c>
      <c r="BX61">
        <v>0</v>
      </c>
      <c r="BY61">
        <v>0</v>
      </c>
      <c r="BZ61">
        <v>0</v>
      </c>
      <c r="CA61">
        <v>-3</v>
      </c>
      <c r="CB61">
        <v>0</v>
      </c>
      <c r="CC61">
        <v>1</v>
      </c>
      <c r="CD61" s="54">
        <v>42095</v>
      </c>
      <c r="CE61" s="54">
        <v>42219</v>
      </c>
      <c r="CF61" s="54">
        <v>42219</v>
      </c>
      <c r="CG61" s="54">
        <v>42331</v>
      </c>
      <c r="CH61" s="54"/>
      <c r="CI61" s="54"/>
      <c r="CJ61">
        <v>0.22</v>
      </c>
      <c r="CK61">
        <v>10534</v>
      </c>
      <c r="CL61">
        <v>0.02</v>
      </c>
      <c r="CM61">
        <v>0</v>
      </c>
      <c r="CN61">
        <v>0.81</v>
      </c>
      <c r="CO61">
        <v>0.06</v>
      </c>
      <c r="CP61">
        <v>0</v>
      </c>
      <c r="CQ61" t="s">
        <v>1269</v>
      </c>
      <c r="CR61" t="s">
        <v>613</v>
      </c>
      <c r="CS61" t="s">
        <v>1307</v>
      </c>
      <c r="CT61" t="s">
        <v>1268</v>
      </c>
      <c r="CU61" t="s">
        <v>1308</v>
      </c>
      <c r="CV61" t="s">
        <v>1483</v>
      </c>
      <c r="CW61" t="s">
        <v>1390</v>
      </c>
      <c r="CX61" t="s">
        <v>1378</v>
      </c>
      <c r="DC61" t="s">
        <v>1391</v>
      </c>
      <c r="DE61" t="s">
        <v>1313</v>
      </c>
    </row>
    <row r="62" spans="1:109" x14ac:dyDescent="0.25">
      <c r="A62" t="s">
        <v>1027</v>
      </c>
      <c r="B62">
        <v>7</v>
      </c>
      <c r="C62" s="54">
        <v>42331</v>
      </c>
      <c r="D62" t="s">
        <v>1301</v>
      </c>
      <c r="E62" t="s">
        <v>1484</v>
      </c>
      <c r="G62" t="s">
        <v>415</v>
      </c>
      <c r="H62" t="s">
        <v>1256</v>
      </c>
      <c r="I62" t="s">
        <v>1256</v>
      </c>
      <c r="J62" t="s">
        <v>1256</v>
      </c>
      <c r="K62" t="s">
        <v>1256</v>
      </c>
      <c r="L62">
        <v>0.26</v>
      </c>
      <c r="M62">
        <v>0</v>
      </c>
      <c r="N62">
        <v>0</v>
      </c>
      <c r="O62" s="54">
        <v>0</v>
      </c>
      <c r="P62" s="54">
        <v>0</v>
      </c>
      <c r="Q62">
        <v>6</v>
      </c>
      <c r="R62">
        <v>3</v>
      </c>
      <c r="S62">
        <v>16</v>
      </c>
      <c r="T62">
        <v>12</v>
      </c>
      <c r="U62">
        <v>4</v>
      </c>
      <c r="V62">
        <v>1</v>
      </c>
      <c r="X62" t="s">
        <v>1305</v>
      </c>
      <c r="AA62">
        <v>0</v>
      </c>
      <c r="AB62">
        <v>0</v>
      </c>
      <c r="AC62">
        <v>0</v>
      </c>
      <c r="AD62">
        <v>0</v>
      </c>
      <c r="AE62">
        <v>0</v>
      </c>
      <c r="AF62">
        <v>0</v>
      </c>
      <c r="AG62">
        <v>0</v>
      </c>
      <c r="AJ62" s="54"/>
      <c r="AK62" s="54"/>
      <c r="AL62" s="54"/>
      <c r="AP62" t="s">
        <v>1306</v>
      </c>
      <c r="AS62" t="s">
        <v>1266</v>
      </c>
      <c r="AT62">
        <v>1</v>
      </c>
      <c r="AV62">
        <v>0</v>
      </c>
      <c r="AW62">
        <v>0</v>
      </c>
      <c r="AX62">
        <v>0</v>
      </c>
      <c r="AY62" t="s">
        <v>1265</v>
      </c>
      <c r="AZ62" t="s">
        <v>1265</v>
      </c>
      <c r="BA62">
        <v>0</v>
      </c>
      <c r="BE62">
        <v>0</v>
      </c>
      <c r="BF62">
        <v>0</v>
      </c>
      <c r="BG62">
        <v>0</v>
      </c>
      <c r="BH62">
        <v>0</v>
      </c>
      <c r="BI62">
        <v>0</v>
      </c>
      <c r="BJ62">
        <v>0</v>
      </c>
      <c r="BK62">
        <v>0</v>
      </c>
      <c r="BL62">
        <v>0</v>
      </c>
      <c r="BM62">
        <v>0</v>
      </c>
      <c r="BN62">
        <v>0</v>
      </c>
      <c r="BO62">
        <v>0</v>
      </c>
      <c r="BP62">
        <v>0</v>
      </c>
      <c r="BR62">
        <v>0</v>
      </c>
      <c r="BS62">
        <v>0</v>
      </c>
      <c r="BX62">
        <v>0</v>
      </c>
      <c r="BY62">
        <v>0</v>
      </c>
      <c r="BZ62">
        <v>0</v>
      </c>
      <c r="CA62">
        <v>0</v>
      </c>
      <c r="CB62">
        <v>0</v>
      </c>
      <c r="CC62">
        <v>1</v>
      </c>
      <c r="CD62" s="54">
        <v>42095</v>
      </c>
      <c r="CE62" s="54">
        <v>42219</v>
      </c>
      <c r="CF62" s="54">
        <v>42219</v>
      </c>
      <c r="CG62" s="54">
        <v>42331</v>
      </c>
      <c r="CH62" s="54"/>
      <c r="CI62" s="54"/>
      <c r="CJ62">
        <v>1</v>
      </c>
      <c r="CK62">
        <v>0</v>
      </c>
      <c r="CL62">
        <v>0.88</v>
      </c>
      <c r="CM62">
        <v>0</v>
      </c>
      <c r="CN62">
        <v>0</v>
      </c>
      <c r="CO62">
        <v>0</v>
      </c>
      <c r="CP62">
        <v>0</v>
      </c>
      <c r="CQ62" t="s">
        <v>1269</v>
      </c>
      <c r="CR62" t="s">
        <v>613</v>
      </c>
      <c r="CS62" t="s">
        <v>1307</v>
      </c>
      <c r="CT62" t="s">
        <v>1268</v>
      </c>
      <c r="CU62" t="s">
        <v>1308</v>
      </c>
      <c r="CV62" t="s">
        <v>1485</v>
      </c>
      <c r="CW62" t="s">
        <v>1387</v>
      </c>
      <c r="CX62" t="s">
        <v>1378</v>
      </c>
      <c r="DC62" t="s">
        <v>1379</v>
      </c>
      <c r="DE62" t="s">
        <v>1313</v>
      </c>
    </row>
    <row r="63" spans="1:109" x14ac:dyDescent="0.25">
      <c r="A63" t="s">
        <v>1027</v>
      </c>
      <c r="B63">
        <v>7</v>
      </c>
      <c r="C63" s="54">
        <v>42331</v>
      </c>
      <c r="D63" t="s">
        <v>1301</v>
      </c>
      <c r="E63" t="s">
        <v>1486</v>
      </c>
      <c r="G63" t="s">
        <v>1487</v>
      </c>
      <c r="H63" t="s">
        <v>1256</v>
      </c>
      <c r="I63" t="s">
        <v>1256</v>
      </c>
      <c r="J63" t="s">
        <v>1256</v>
      </c>
      <c r="K63" t="s">
        <v>1256</v>
      </c>
      <c r="L63">
        <v>0.17</v>
      </c>
      <c r="M63">
        <v>0</v>
      </c>
      <c r="N63">
        <v>0</v>
      </c>
      <c r="O63" s="54">
        <v>0</v>
      </c>
      <c r="P63" s="54">
        <v>0</v>
      </c>
      <c r="Q63">
        <v>6</v>
      </c>
      <c r="R63">
        <v>3</v>
      </c>
      <c r="S63">
        <v>16</v>
      </c>
      <c r="T63">
        <v>12</v>
      </c>
      <c r="U63">
        <v>4</v>
      </c>
      <c r="V63">
        <v>1</v>
      </c>
      <c r="W63" t="s">
        <v>1304</v>
      </c>
      <c r="X63" t="s">
        <v>1305</v>
      </c>
      <c r="Y63">
        <v>6650</v>
      </c>
      <c r="AA63">
        <v>0</v>
      </c>
      <c r="AB63">
        <v>0</v>
      </c>
      <c r="AC63">
        <v>0</v>
      </c>
      <c r="AD63">
        <v>0</v>
      </c>
      <c r="AE63">
        <v>0</v>
      </c>
      <c r="AF63">
        <v>46</v>
      </c>
      <c r="AG63">
        <v>0</v>
      </c>
      <c r="AJ63" s="54"/>
      <c r="AK63" s="54"/>
      <c r="AL63" s="54"/>
      <c r="AO63">
        <v>5000</v>
      </c>
      <c r="AP63" t="s">
        <v>1306</v>
      </c>
      <c r="AS63" t="s">
        <v>1266</v>
      </c>
      <c r="AT63">
        <v>1</v>
      </c>
      <c r="AV63">
        <v>5000</v>
      </c>
      <c r="AW63">
        <v>3325</v>
      </c>
      <c r="AX63">
        <v>1650</v>
      </c>
      <c r="AY63" t="s">
        <v>1261</v>
      </c>
      <c r="AZ63" t="s">
        <v>1261</v>
      </c>
      <c r="BA63">
        <v>5000</v>
      </c>
      <c r="BE63">
        <v>5000</v>
      </c>
      <c r="BF63">
        <v>0</v>
      </c>
      <c r="BG63">
        <v>0</v>
      </c>
      <c r="BH63">
        <v>0</v>
      </c>
      <c r="BI63">
        <v>0</v>
      </c>
      <c r="BJ63">
        <v>0</v>
      </c>
      <c r="BK63">
        <v>0</v>
      </c>
      <c r="BL63">
        <v>0</v>
      </c>
      <c r="BM63">
        <v>5000</v>
      </c>
      <c r="BN63">
        <v>0</v>
      </c>
      <c r="BO63">
        <v>0</v>
      </c>
      <c r="BP63">
        <v>0</v>
      </c>
      <c r="BR63">
        <v>0</v>
      </c>
      <c r="BS63">
        <v>1250</v>
      </c>
      <c r="BX63">
        <v>0</v>
      </c>
      <c r="BY63">
        <v>0</v>
      </c>
      <c r="BZ63">
        <v>0</v>
      </c>
      <c r="CA63">
        <v>-3</v>
      </c>
      <c r="CB63">
        <v>0</v>
      </c>
      <c r="CC63">
        <v>1</v>
      </c>
      <c r="CD63" s="54">
        <v>42095</v>
      </c>
      <c r="CE63" s="54">
        <v>42219</v>
      </c>
      <c r="CF63" s="54">
        <v>42219</v>
      </c>
      <c r="CG63" s="54">
        <v>42331</v>
      </c>
      <c r="CH63" s="54"/>
      <c r="CI63" s="54"/>
      <c r="CJ63">
        <v>0.87</v>
      </c>
      <c r="CK63">
        <v>67650</v>
      </c>
      <c r="CL63">
        <v>0.38</v>
      </c>
      <c r="CM63">
        <v>0</v>
      </c>
      <c r="CN63">
        <v>0</v>
      </c>
      <c r="CO63">
        <v>0.5</v>
      </c>
      <c r="CP63">
        <v>0</v>
      </c>
      <c r="CQ63" t="s">
        <v>1269</v>
      </c>
      <c r="CR63" t="s">
        <v>613</v>
      </c>
      <c r="CS63" t="s">
        <v>1307</v>
      </c>
      <c r="CT63" t="s">
        <v>1268</v>
      </c>
      <c r="CU63" t="s">
        <v>1308</v>
      </c>
      <c r="CV63" t="s">
        <v>1488</v>
      </c>
      <c r="CW63" t="s">
        <v>613</v>
      </c>
      <c r="CX63" t="s">
        <v>1378</v>
      </c>
      <c r="DC63" t="s">
        <v>1379</v>
      </c>
      <c r="DE63" t="s">
        <v>1313</v>
      </c>
    </row>
    <row r="64" spans="1:109" x14ac:dyDescent="0.25">
      <c r="A64" t="s">
        <v>1027</v>
      </c>
      <c r="B64">
        <v>7</v>
      </c>
      <c r="C64" s="54">
        <v>42331</v>
      </c>
      <c r="D64" t="s">
        <v>1301</v>
      </c>
      <c r="E64" t="s">
        <v>1489</v>
      </c>
      <c r="G64" t="s">
        <v>1490</v>
      </c>
      <c r="H64" t="s">
        <v>1256</v>
      </c>
      <c r="I64" t="s">
        <v>1256</v>
      </c>
      <c r="J64" t="s">
        <v>1256</v>
      </c>
      <c r="K64" t="s">
        <v>1256</v>
      </c>
      <c r="L64">
        <v>0.2</v>
      </c>
      <c r="M64">
        <v>0</v>
      </c>
      <c r="N64">
        <v>0</v>
      </c>
      <c r="O64" s="54">
        <v>0</v>
      </c>
      <c r="P64" s="54">
        <v>0</v>
      </c>
      <c r="Q64">
        <v>6</v>
      </c>
      <c r="R64">
        <v>3</v>
      </c>
      <c r="S64">
        <v>16</v>
      </c>
      <c r="T64">
        <v>12</v>
      </c>
      <c r="U64">
        <v>4</v>
      </c>
      <c r="V64">
        <v>1</v>
      </c>
      <c r="X64" t="s">
        <v>1305</v>
      </c>
      <c r="AA64">
        <v>0</v>
      </c>
      <c r="AB64">
        <v>0</v>
      </c>
      <c r="AC64">
        <v>0</v>
      </c>
      <c r="AD64">
        <v>0</v>
      </c>
      <c r="AE64">
        <v>0</v>
      </c>
      <c r="AF64">
        <v>2</v>
      </c>
      <c r="AG64">
        <v>0</v>
      </c>
      <c r="AJ64" s="54"/>
      <c r="AK64" s="54"/>
      <c r="AL64" s="54"/>
      <c r="AP64" t="s">
        <v>1306</v>
      </c>
      <c r="AS64" t="s">
        <v>1266</v>
      </c>
      <c r="AT64">
        <v>1</v>
      </c>
      <c r="AV64">
        <v>5000</v>
      </c>
      <c r="AW64">
        <v>3325</v>
      </c>
      <c r="AX64">
        <v>1650</v>
      </c>
      <c r="AY64" t="s">
        <v>1260</v>
      </c>
      <c r="AZ64" t="s">
        <v>1260</v>
      </c>
      <c r="BA64">
        <v>5000</v>
      </c>
      <c r="BE64">
        <v>5040</v>
      </c>
      <c r="BF64">
        <v>-0.01</v>
      </c>
      <c r="BG64">
        <v>0</v>
      </c>
      <c r="BH64">
        <v>0</v>
      </c>
      <c r="BI64">
        <v>0</v>
      </c>
      <c r="BJ64">
        <v>0</v>
      </c>
      <c r="BK64">
        <v>0</v>
      </c>
      <c r="BL64">
        <v>0</v>
      </c>
      <c r="BM64">
        <v>5040</v>
      </c>
      <c r="BN64">
        <v>-0.01</v>
      </c>
      <c r="BO64">
        <v>0</v>
      </c>
      <c r="BP64">
        <v>0</v>
      </c>
      <c r="BR64">
        <v>0</v>
      </c>
      <c r="BS64">
        <v>1250</v>
      </c>
      <c r="BT64">
        <v>5000</v>
      </c>
      <c r="BX64">
        <v>0</v>
      </c>
      <c r="BY64">
        <v>8</v>
      </c>
      <c r="BZ64">
        <v>0</v>
      </c>
      <c r="CA64">
        <v>-3</v>
      </c>
      <c r="CB64">
        <v>0</v>
      </c>
      <c r="CC64">
        <v>1</v>
      </c>
      <c r="CD64" s="54">
        <v>42095</v>
      </c>
      <c r="CE64" s="54">
        <v>42219</v>
      </c>
      <c r="CF64" s="54">
        <v>42219</v>
      </c>
      <c r="CG64" s="54">
        <v>42331</v>
      </c>
      <c r="CH64" s="54"/>
      <c r="CI64" s="54"/>
      <c r="CJ64">
        <v>0.86</v>
      </c>
      <c r="CK64">
        <v>0</v>
      </c>
      <c r="CL64">
        <v>0.02</v>
      </c>
      <c r="CM64">
        <v>0.36</v>
      </c>
      <c r="CN64">
        <v>0</v>
      </c>
      <c r="CO64">
        <v>0</v>
      </c>
      <c r="CP64">
        <v>0.5</v>
      </c>
      <c r="CQ64" t="s">
        <v>1269</v>
      </c>
      <c r="CR64" t="s">
        <v>613</v>
      </c>
      <c r="CS64" t="s">
        <v>1307</v>
      </c>
      <c r="CT64" t="s">
        <v>1268</v>
      </c>
      <c r="CU64" t="s">
        <v>1308</v>
      </c>
      <c r="CV64" t="s">
        <v>1491</v>
      </c>
      <c r="CW64" t="s">
        <v>613</v>
      </c>
      <c r="CX64" t="s">
        <v>1378</v>
      </c>
      <c r="DC64" t="s">
        <v>1379</v>
      </c>
      <c r="DE64" t="s">
        <v>1313</v>
      </c>
    </row>
    <row r="65" spans="1:109" x14ac:dyDescent="0.25">
      <c r="A65" t="s">
        <v>1027</v>
      </c>
      <c r="B65">
        <v>7</v>
      </c>
      <c r="C65" s="54">
        <v>42331</v>
      </c>
      <c r="D65" t="s">
        <v>1301</v>
      </c>
      <c r="E65" t="s">
        <v>1294</v>
      </c>
      <c r="G65" t="s">
        <v>1492</v>
      </c>
      <c r="H65" t="s">
        <v>1256</v>
      </c>
      <c r="I65" t="s">
        <v>1256</v>
      </c>
      <c r="J65" t="s">
        <v>1256</v>
      </c>
      <c r="K65" t="s">
        <v>1256</v>
      </c>
      <c r="L65">
        <v>0.52</v>
      </c>
      <c r="M65">
        <v>0</v>
      </c>
      <c r="N65">
        <v>0</v>
      </c>
      <c r="O65" s="54">
        <v>0</v>
      </c>
      <c r="P65" s="54">
        <v>0</v>
      </c>
      <c r="Q65">
        <v>6</v>
      </c>
      <c r="R65">
        <v>3</v>
      </c>
      <c r="S65">
        <v>16</v>
      </c>
      <c r="T65">
        <v>12</v>
      </c>
      <c r="U65">
        <v>4</v>
      </c>
      <c r="V65">
        <v>1</v>
      </c>
      <c r="W65" t="s">
        <v>1304</v>
      </c>
      <c r="X65" t="s">
        <v>1305</v>
      </c>
      <c r="Y65">
        <v>6650</v>
      </c>
      <c r="AA65">
        <v>0</v>
      </c>
      <c r="AB65">
        <v>0</v>
      </c>
      <c r="AC65">
        <v>0</v>
      </c>
      <c r="AD65">
        <v>0</v>
      </c>
      <c r="AE65">
        <v>0</v>
      </c>
      <c r="AF65">
        <v>11</v>
      </c>
      <c r="AG65">
        <v>0</v>
      </c>
      <c r="AJ65" s="54"/>
      <c r="AK65" s="54"/>
      <c r="AL65" s="54"/>
      <c r="AP65" t="s">
        <v>1306</v>
      </c>
      <c r="AS65" t="s">
        <v>1266</v>
      </c>
      <c r="AT65">
        <v>1</v>
      </c>
      <c r="AV65">
        <v>5000</v>
      </c>
      <c r="AW65">
        <v>3325</v>
      </c>
      <c r="AX65">
        <v>1650</v>
      </c>
      <c r="AY65" t="s">
        <v>1261</v>
      </c>
      <c r="AZ65" t="s">
        <v>1261</v>
      </c>
      <c r="BA65">
        <v>5000</v>
      </c>
      <c r="BE65">
        <v>3547</v>
      </c>
      <c r="BF65">
        <v>0.28999999999999998</v>
      </c>
      <c r="BG65">
        <v>0</v>
      </c>
      <c r="BH65">
        <v>0</v>
      </c>
      <c r="BI65">
        <v>0</v>
      </c>
      <c r="BJ65">
        <v>0</v>
      </c>
      <c r="BK65">
        <v>0</v>
      </c>
      <c r="BL65">
        <v>0</v>
      </c>
      <c r="BM65">
        <v>3547</v>
      </c>
      <c r="BN65">
        <v>0.28999999999999998</v>
      </c>
      <c r="BO65">
        <v>0</v>
      </c>
      <c r="BP65">
        <v>0</v>
      </c>
      <c r="BR65">
        <v>1453</v>
      </c>
      <c r="BS65">
        <v>1250</v>
      </c>
      <c r="BX65">
        <v>0</v>
      </c>
      <c r="BY65">
        <v>0</v>
      </c>
      <c r="BZ65">
        <v>0</v>
      </c>
      <c r="CA65">
        <v>-3</v>
      </c>
      <c r="CB65">
        <v>0</v>
      </c>
      <c r="CC65">
        <v>1</v>
      </c>
      <c r="CD65" s="54">
        <v>42095</v>
      </c>
      <c r="CE65" s="54">
        <v>42219</v>
      </c>
      <c r="CF65" s="54">
        <v>42219</v>
      </c>
      <c r="CG65" s="54">
        <v>42331</v>
      </c>
      <c r="CH65" s="54"/>
      <c r="CI65" s="54"/>
      <c r="CJ65">
        <v>0.27</v>
      </c>
      <c r="CK65">
        <v>9900</v>
      </c>
      <c r="CL65">
        <v>0.06</v>
      </c>
      <c r="CM65">
        <v>0</v>
      </c>
      <c r="CN65">
        <v>0</v>
      </c>
      <c r="CO65">
        <v>0.83</v>
      </c>
      <c r="CP65">
        <v>0</v>
      </c>
      <c r="CQ65" t="s">
        <v>1269</v>
      </c>
      <c r="CR65" t="s">
        <v>613</v>
      </c>
      <c r="CS65" t="s">
        <v>1307</v>
      </c>
      <c r="CT65" t="s">
        <v>1268</v>
      </c>
      <c r="CU65" t="s">
        <v>1308</v>
      </c>
      <c r="CV65" t="s">
        <v>1493</v>
      </c>
      <c r="CW65" t="s">
        <v>1387</v>
      </c>
      <c r="CX65" t="s">
        <v>1378</v>
      </c>
      <c r="DC65" t="s">
        <v>1379</v>
      </c>
      <c r="DE65" t="s">
        <v>1313</v>
      </c>
    </row>
    <row r="66" spans="1:109" x14ac:dyDescent="0.25">
      <c r="A66" t="s">
        <v>1027</v>
      </c>
      <c r="B66">
        <v>7</v>
      </c>
      <c r="C66" s="54">
        <v>42331</v>
      </c>
      <c r="D66" t="s">
        <v>1301</v>
      </c>
      <c r="E66" t="s">
        <v>1494</v>
      </c>
      <c r="G66" t="s">
        <v>1495</v>
      </c>
      <c r="H66" t="s">
        <v>1256</v>
      </c>
      <c r="I66" t="s">
        <v>1256</v>
      </c>
      <c r="J66" t="s">
        <v>1256</v>
      </c>
      <c r="K66" t="s">
        <v>1256</v>
      </c>
      <c r="L66">
        <v>0.2</v>
      </c>
      <c r="M66">
        <v>0</v>
      </c>
      <c r="N66">
        <v>0</v>
      </c>
      <c r="O66" s="54">
        <v>0</v>
      </c>
      <c r="P66" s="54">
        <v>0</v>
      </c>
      <c r="Q66">
        <v>6</v>
      </c>
      <c r="R66">
        <v>3</v>
      </c>
      <c r="S66">
        <v>16</v>
      </c>
      <c r="T66">
        <v>12</v>
      </c>
      <c r="U66">
        <v>4</v>
      </c>
      <c r="V66">
        <v>1</v>
      </c>
      <c r="W66" t="s">
        <v>1304</v>
      </c>
      <c r="X66" t="s">
        <v>1305</v>
      </c>
      <c r="Y66">
        <v>6650</v>
      </c>
      <c r="AA66">
        <v>0</v>
      </c>
      <c r="AB66">
        <v>0</v>
      </c>
      <c r="AC66">
        <v>0</v>
      </c>
      <c r="AD66">
        <v>0</v>
      </c>
      <c r="AE66">
        <v>0</v>
      </c>
      <c r="AF66">
        <v>11</v>
      </c>
      <c r="AG66">
        <v>0</v>
      </c>
      <c r="AJ66" s="54"/>
      <c r="AK66" s="54"/>
      <c r="AL66" s="54"/>
      <c r="AP66" t="s">
        <v>1306</v>
      </c>
      <c r="AS66" t="s">
        <v>1266</v>
      </c>
      <c r="AT66">
        <v>1</v>
      </c>
      <c r="AV66">
        <v>5000</v>
      </c>
      <c r="AW66">
        <v>3325</v>
      </c>
      <c r="AX66">
        <v>1650</v>
      </c>
      <c r="AY66" t="s">
        <v>1258</v>
      </c>
      <c r="AZ66" t="s">
        <v>1260</v>
      </c>
      <c r="BA66">
        <v>5000</v>
      </c>
      <c r="BE66">
        <v>1954</v>
      </c>
      <c r="BF66">
        <v>0.61</v>
      </c>
      <c r="BG66">
        <v>5000</v>
      </c>
      <c r="BH66">
        <v>0</v>
      </c>
      <c r="BI66">
        <v>0</v>
      </c>
      <c r="BJ66">
        <v>0</v>
      </c>
      <c r="BK66">
        <v>0</v>
      </c>
      <c r="BL66">
        <v>0</v>
      </c>
      <c r="BM66">
        <v>6954</v>
      </c>
      <c r="BN66">
        <v>-0.39</v>
      </c>
      <c r="BO66">
        <v>0</v>
      </c>
      <c r="BP66">
        <v>0</v>
      </c>
      <c r="BR66">
        <v>0</v>
      </c>
      <c r="BS66">
        <v>1250</v>
      </c>
      <c r="BX66">
        <v>0</v>
      </c>
      <c r="BY66">
        <v>0</v>
      </c>
      <c r="BZ66">
        <v>0</v>
      </c>
      <c r="CA66">
        <v>-3</v>
      </c>
      <c r="CB66">
        <v>0</v>
      </c>
      <c r="CC66">
        <v>1</v>
      </c>
      <c r="CD66" s="54">
        <v>42095</v>
      </c>
      <c r="CE66" s="54">
        <v>42219</v>
      </c>
      <c r="CF66" s="54">
        <v>42219</v>
      </c>
      <c r="CG66" s="54">
        <v>42331</v>
      </c>
      <c r="CH66" s="54"/>
      <c r="CI66" s="54"/>
      <c r="CJ66">
        <v>0.31</v>
      </c>
      <c r="CK66">
        <v>9900</v>
      </c>
      <c r="CL66">
        <v>0.06</v>
      </c>
      <c r="CM66">
        <v>0</v>
      </c>
      <c r="CN66">
        <v>0.78</v>
      </c>
      <c r="CO66">
        <v>0.05</v>
      </c>
      <c r="CP66">
        <v>0</v>
      </c>
      <c r="CQ66" t="s">
        <v>1269</v>
      </c>
      <c r="CR66" t="s">
        <v>613</v>
      </c>
      <c r="CS66" t="s">
        <v>1307</v>
      </c>
      <c r="CT66" t="s">
        <v>1268</v>
      </c>
      <c r="CU66" t="s">
        <v>1308</v>
      </c>
      <c r="CV66" t="s">
        <v>1496</v>
      </c>
      <c r="CW66" t="s">
        <v>1387</v>
      </c>
      <c r="CX66" t="s">
        <v>1378</v>
      </c>
      <c r="DC66" t="s">
        <v>1379</v>
      </c>
      <c r="DE66" t="s">
        <v>1313</v>
      </c>
    </row>
    <row r="67" spans="1:109" x14ac:dyDescent="0.25">
      <c r="A67" t="s">
        <v>1027</v>
      </c>
      <c r="B67">
        <v>7</v>
      </c>
      <c r="C67" s="54">
        <v>42331</v>
      </c>
      <c r="D67" t="s">
        <v>1301</v>
      </c>
      <c r="E67" t="s">
        <v>1497</v>
      </c>
      <c r="G67" t="s">
        <v>1498</v>
      </c>
      <c r="H67" t="s">
        <v>1256</v>
      </c>
      <c r="I67" t="s">
        <v>1256</v>
      </c>
      <c r="J67" t="s">
        <v>1256</v>
      </c>
      <c r="K67" t="s">
        <v>1256</v>
      </c>
      <c r="L67">
        <v>0.28000000000000003</v>
      </c>
      <c r="M67">
        <v>0</v>
      </c>
      <c r="N67">
        <v>0</v>
      </c>
      <c r="O67" s="54">
        <v>0</v>
      </c>
      <c r="P67" s="54">
        <v>0</v>
      </c>
      <c r="Q67">
        <v>6</v>
      </c>
      <c r="R67">
        <v>3</v>
      </c>
      <c r="S67">
        <v>16</v>
      </c>
      <c r="T67">
        <v>12</v>
      </c>
      <c r="U67">
        <v>4</v>
      </c>
      <c r="V67">
        <v>1</v>
      </c>
      <c r="W67" t="s">
        <v>1304</v>
      </c>
      <c r="X67" t="s">
        <v>1305</v>
      </c>
      <c r="Y67">
        <v>8845</v>
      </c>
      <c r="AA67">
        <v>0</v>
      </c>
      <c r="AB67">
        <v>0</v>
      </c>
      <c r="AC67">
        <v>0</v>
      </c>
      <c r="AD67">
        <v>0</v>
      </c>
      <c r="AE67">
        <v>0</v>
      </c>
      <c r="AF67">
        <v>11</v>
      </c>
      <c r="AG67">
        <v>0</v>
      </c>
      <c r="AJ67" s="54"/>
      <c r="AK67" s="54"/>
      <c r="AL67" s="54"/>
      <c r="AO67">
        <v>2000</v>
      </c>
      <c r="AP67" t="s">
        <v>1306</v>
      </c>
      <c r="AS67" t="s">
        <v>1266</v>
      </c>
      <c r="AT67">
        <v>1</v>
      </c>
      <c r="AV67">
        <v>6650</v>
      </c>
      <c r="AW67">
        <v>4422</v>
      </c>
      <c r="AX67">
        <v>2195</v>
      </c>
      <c r="AY67" t="s">
        <v>1259</v>
      </c>
      <c r="AZ67" t="s">
        <v>1261</v>
      </c>
      <c r="BA67">
        <v>6650</v>
      </c>
      <c r="BE67">
        <v>1155</v>
      </c>
      <c r="BF67">
        <v>0.83</v>
      </c>
      <c r="BG67">
        <v>5000</v>
      </c>
      <c r="BH67">
        <v>0</v>
      </c>
      <c r="BI67">
        <v>0</v>
      </c>
      <c r="BJ67">
        <v>0</v>
      </c>
      <c r="BK67">
        <v>0</v>
      </c>
      <c r="BL67">
        <v>0</v>
      </c>
      <c r="BM67">
        <v>6155</v>
      </c>
      <c r="BN67">
        <v>7.0000000000000007E-2</v>
      </c>
      <c r="BO67">
        <v>0</v>
      </c>
      <c r="BP67">
        <v>0</v>
      </c>
      <c r="BR67">
        <v>0</v>
      </c>
      <c r="BS67">
        <v>1663</v>
      </c>
      <c r="BX67">
        <v>-291.2</v>
      </c>
      <c r="BY67">
        <v>0</v>
      </c>
      <c r="BZ67">
        <v>0</v>
      </c>
      <c r="CA67">
        <v>-3</v>
      </c>
      <c r="CB67">
        <v>0</v>
      </c>
      <c r="CC67">
        <v>1</v>
      </c>
      <c r="CD67" s="54">
        <v>42095</v>
      </c>
      <c r="CE67" s="54">
        <v>42219</v>
      </c>
      <c r="CF67" s="54">
        <v>42219</v>
      </c>
      <c r="CG67" s="54">
        <v>42331</v>
      </c>
      <c r="CH67" s="54"/>
      <c r="CI67" s="54"/>
      <c r="CJ67">
        <v>0.4</v>
      </c>
      <c r="CK67">
        <v>47623</v>
      </c>
      <c r="CL67">
        <v>0.06</v>
      </c>
      <c r="CM67">
        <v>0.55000000000000004</v>
      </c>
      <c r="CN67">
        <v>0.28000000000000003</v>
      </c>
      <c r="CO67">
        <v>0</v>
      </c>
      <c r="CP67">
        <v>0</v>
      </c>
      <c r="CQ67" t="s">
        <v>1269</v>
      </c>
      <c r="CR67" t="s">
        <v>613</v>
      </c>
      <c r="CS67" t="s">
        <v>1307</v>
      </c>
      <c r="CT67" t="s">
        <v>1268</v>
      </c>
      <c r="CU67" t="s">
        <v>1308</v>
      </c>
      <c r="CV67" t="s">
        <v>1499</v>
      </c>
      <c r="CW67" t="s">
        <v>1387</v>
      </c>
      <c r="CX67" t="s">
        <v>1378</v>
      </c>
      <c r="DC67" t="s">
        <v>1379</v>
      </c>
      <c r="DE67" t="s">
        <v>1313</v>
      </c>
    </row>
    <row r="68" spans="1:109" x14ac:dyDescent="0.25">
      <c r="A68" t="s">
        <v>1027</v>
      </c>
      <c r="B68">
        <v>7</v>
      </c>
      <c r="C68" s="54">
        <v>42331</v>
      </c>
      <c r="D68" t="s">
        <v>1301</v>
      </c>
      <c r="E68" t="s">
        <v>1295</v>
      </c>
      <c r="G68" t="s">
        <v>1500</v>
      </c>
      <c r="H68" t="s">
        <v>1256</v>
      </c>
      <c r="I68" t="s">
        <v>1256</v>
      </c>
      <c r="J68" t="s">
        <v>1256</v>
      </c>
      <c r="K68" t="s">
        <v>1256</v>
      </c>
      <c r="L68">
        <v>0.53</v>
      </c>
      <c r="M68">
        <v>0</v>
      </c>
      <c r="N68">
        <v>0</v>
      </c>
      <c r="O68" s="54">
        <v>0</v>
      </c>
      <c r="P68" s="54">
        <v>0</v>
      </c>
      <c r="Q68">
        <v>6</v>
      </c>
      <c r="R68">
        <v>3</v>
      </c>
      <c r="S68">
        <v>16</v>
      </c>
      <c r="T68">
        <v>12</v>
      </c>
      <c r="U68">
        <v>4</v>
      </c>
      <c r="V68">
        <v>1</v>
      </c>
      <c r="W68" t="s">
        <v>1304</v>
      </c>
      <c r="X68" t="s">
        <v>1305</v>
      </c>
      <c r="Y68">
        <v>8845</v>
      </c>
      <c r="AA68">
        <v>0</v>
      </c>
      <c r="AB68">
        <v>0</v>
      </c>
      <c r="AC68">
        <v>0</v>
      </c>
      <c r="AD68">
        <v>0</v>
      </c>
      <c r="AE68">
        <v>0</v>
      </c>
      <c r="AF68">
        <v>11</v>
      </c>
      <c r="AG68">
        <v>0</v>
      </c>
      <c r="AJ68" s="54"/>
      <c r="AK68" s="54"/>
      <c r="AL68" s="54"/>
      <c r="AP68" t="s">
        <v>1306</v>
      </c>
      <c r="AS68" t="s">
        <v>1266</v>
      </c>
      <c r="AT68">
        <v>1</v>
      </c>
      <c r="AV68">
        <v>6650</v>
      </c>
      <c r="AW68">
        <v>4422</v>
      </c>
      <c r="AX68">
        <v>2195</v>
      </c>
      <c r="AY68" t="s">
        <v>1258</v>
      </c>
      <c r="AZ68" t="s">
        <v>1258</v>
      </c>
      <c r="BA68">
        <v>6650</v>
      </c>
      <c r="BE68">
        <v>3762</v>
      </c>
      <c r="BF68">
        <v>0.43</v>
      </c>
      <c r="BG68">
        <v>0</v>
      </c>
      <c r="BH68">
        <v>0</v>
      </c>
      <c r="BI68">
        <v>0</v>
      </c>
      <c r="BJ68">
        <v>0</v>
      </c>
      <c r="BK68">
        <v>0</v>
      </c>
      <c r="BL68">
        <v>0</v>
      </c>
      <c r="BM68">
        <v>3762</v>
      </c>
      <c r="BN68">
        <v>0.43</v>
      </c>
      <c r="BO68">
        <v>0</v>
      </c>
      <c r="BP68">
        <v>0</v>
      </c>
      <c r="BR68">
        <v>2888</v>
      </c>
      <c r="BS68">
        <v>1663</v>
      </c>
      <c r="BX68">
        <v>0</v>
      </c>
      <c r="BY68">
        <v>0</v>
      </c>
      <c r="BZ68">
        <v>0</v>
      </c>
      <c r="CA68">
        <v>-3</v>
      </c>
      <c r="CB68">
        <v>0</v>
      </c>
      <c r="CC68">
        <v>1</v>
      </c>
      <c r="CD68" s="54">
        <v>42095</v>
      </c>
      <c r="CE68" s="54">
        <v>42219</v>
      </c>
      <c r="CF68" s="54">
        <v>42219</v>
      </c>
      <c r="CG68" s="54">
        <v>42331</v>
      </c>
      <c r="CH68" s="54"/>
      <c r="CI68" s="54"/>
      <c r="CJ68">
        <v>0.27</v>
      </c>
      <c r="CK68">
        <v>13170</v>
      </c>
      <c r="CL68">
        <v>0.06</v>
      </c>
      <c r="CM68">
        <v>0</v>
      </c>
      <c r="CN68">
        <v>0.44</v>
      </c>
      <c r="CO68">
        <v>0.39</v>
      </c>
      <c r="CP68">
        <v>0</v>
      </c>
      <c r="CQ68" t="s">
        <v>1269</v>
      </c>
      <c r="CR68" t="s">
        <v>613</v>
      </c>
      <c r="CS68" t="s">
        <v>1307</v>
      </c>
      <c r="CT68" t="s">
        <v>1268</v>
      </c>
      <c r="CU68" t="s">
        <v>1308</v>
      </c>
      <c r="CV68" t="s">
        <v>1501</v>
      </c>
      <c r="CW68" t="s">
        <v>1387</v>
      </c>
      <c r="CX68" t="s">
        <v>1378</v>
      </c>
      <c r="DC68" t="s">
        <v>1379</v>
      </c>
      <c r="DE68" t="s">
        <v>1313</v>
      </c>
    </row>
    <row r="69" spans="1:109" x14ac:dyDescent="0.25">
      <c r="A69" t="s">
        <v>1027</v>
      </c>
      <c r="B69">
        <v>7</v>
      </c>
      <c r="C69" s="54">
        <v>42331</v>
      </c>
      <c r="D69" t="s">
        <v>1301</v>
      </c>
      <c r="E69" t="s">
        <v>1296</v>
      </c>
      <c r="G69" t="s">
        <v>1502</v>
      </c>
      <c r="H69" t="s">
        <v>1256</v>
      </c>
      <c r="I69" t="s">
        <v>1256</v>
      </c>
      <c r="J69" t="s">
        <v>1256</v>
      </c>
      <c r="K69" t="s">
        <v>1256</v>
      </c>
      <c r="L69">
        <v>0.33</v>
      </c>
      <c r="M69">
        <v>0</v>
      </c>
      <c r="N69">
        <v>0</v>
      </c>
      <c r="O69" s="54">
        <v>0</v>
      </c>
      <c r="P69" s="54">
        <v>0</v>
      </c>
      <c r="Q69">
        <v>6</v>
      </c>
      <c r="R69">
        <v>3</v>
      </c>
      <c r="S69">
        <v>16</v>
      </c>
      <c r="T69">
        <v>12</v>
      </c>
      <c r="U69">
        <v>4</v>
      </c>
      <c r="V69">
        <v>1</v>
      </c>
      <c r="W69" t="s">
        <v>1304</v>
      </c>
      <c r="X69" t="s">
        <v>1305</v>
      </c>
      <c r="Y69">
        <v>6650</v>
      </c>
      <c r="AA69">
        <v>0</v>
      </c>
      <c r="AB69">
        <v>0</v>
      </c>
      <c r="AC69">
        <v>0</v>
      </c>
      <c r="AD69">
        <v>0</v>
      </c>
      <c r="AE69">
        <v>0</v>
      </c>
      <c r="AF69">
        <v>11</v>
      </c>
      <c r="AG69">
        <v>0</v>
      </c>
      <c r="AJ69" s="54"/>
      <c r="AK69" s="54"/>
      <c r="AL69" s="54"/>
      <c r="AP69" t="s">
        <v>1306</v>
      </c>
      <c r="AS69" t="s">
        <v>1266</v>
      </c>
      <c r="AT69">
        <v>1</v>
      </c>
      <c r="AV69">
        <v>5000</v>
      </c>
      <c r="AW69">
        <v>3325</v>
      </c>
      <c r="AX69">
        <v>1650</v>
      </c>
      <c r="AY69" t="s">
        <v>1258</v>
      </c>
      <c r="AZ69" t="s">
        <v>1258</v>
      </c>
      <c r="BA69">
        <v>5000</v>
      </c>
      <c r="BE69">
        <v>2325</v>
      </c>
      <c r="BF69">
        <v>0.54</v>
      </c>
      <c r="BG69">
        <v>0</v>
      </c>
      <c r="BH69">
        <v>0</v>
      </c>
      <c r="BI69">
        <v>0</v>
      </c>
      <c r="BJ69">
        <v>0</v>
      </c>
      <c r="BK69">
        <v>0</v>
      </c>
      <c r="BL69">
        <v>0</v>
      </c>
      <c r="BM69">
        <v>2325</v>
      </c>
      <c r="BN69">
        <v>0.54</v>
      </c>
      <c r="BO69">
        <v>0</v>
      </c>
      <c r="BP69">
        <v>0</v>
      </c>
      <c r="BR69">
        <v>2675</v>
      </c>
      <c r="BS69">
        <v>1250</v>
      </c>
      <c r="BX69">
        <v>0</v>
      </c>
      <c r="BY69">
        <v>0</v>
      </c>
      <c r="BZ69">
        <v>0</v>
      </c>
      <c r="CA69">
        <v>-3</v>
      </c>
      <c r="CB69">
        <v>0</v>
      </c>
      <c r="CC69">
        <v>1</v>
      </c>
      <c r="CD69" s="54">
        <v>42095</v>
      </c>
      <c r="CE69" s="54">
        <v>42219</v>
      </c>
      <c r="CF69" s="54">
        <v>42219</v>
      </c>
      <c r="CG69" s="54">
        <v>42331</v>
      </c>
      <c r="CH69" s="54"/>
      <c r="CI69" s="54"/>
      <c r="CJ69">
        <v>0.9</v>
      </c>
      <c r="CK69">
        <v>65025</v>
      </c>
      <c r="CL69">
        <v>0.06</v>
      </c>
      <c r="CM69">
        <v>0.32</v>
      </c>
      <c r="CN69">
        <v>0.3</v>
      </c>
      <c r="CO69">
        <v>0.19</v>
      </c>
      <c r="CP69">
        <v>0.01</v>
      </c>
      <c r="CQ69" t="s">
        <v>1269</v>
      </c>
      <c r="CR69" t="s">
        <v>613</v>
      </c>
      <c r="CS69" t="s">
        <v>1307</v>
      </c>
      <c r="CT69" t="s">
        <v>1268</v>
      </c>
      <c r="CU69" t="s">
        <v>1308</v>
      </c>
      <c r="CV69" t="s">
        <v>1503</v>
      </c>
      <c r="CW69" t="s">
        <v>613</v>
      </c>
      <c r="CX69" t="s">
        <v>1378</v>
      </c>
      <c r="DC69" t="s">
        <v>1379</v>
      </c>
      <c r="DE69" t="s">
        <v>1313</v>
      </c>
    </row>
    <row r="70" spans="1:109" x14ac:dyDescent="0.25">
      <c r="A70" t="s">
        <v>1027</v>
      </c>
      <c r="B70">
        <v>7</v>
      </c>
      <c r="C70" s="54">
        <v>42331</v>
      </c>
      <c r="D70" t="s">
        <v>1301</v>
      </c>
      <c r="E70" t="s">
        <v>1504</v>
      </c>
      <c r="G70" t="s">
        <v>1505</v>
      </c>
      <c r="H70" t="s">
        <v>1256</v>
      </c>
      <c r="I70" t="s">
        <v>1256</v>
      </c>
      <c r="J70" t="s">
        <v>1256</v>
      </c>
      <c r="K70" t="s">
        <v>1256</v>
      </c>
      <c r="L70">
        <v>0.31</v>
      </c>
      <c r="M70">
        <v>0</v>
      </c>
      <c r="N70">
        <v>0</v>
      </c>
      <c r="O70" s="54">
        <v>0</v>
      </c>
      <c r="P70" s="54">
        <v>0</v>
      </c>
      <c r="Q70">
        <v>6</v>
      </c>
      <c r="R70">
        <v>3</v>
      </c>
      <c r="S70">
        <v>16</v>
      </c>
      <c r="T70">
        <v>12</v>
      </c>
      <c r="U70">
        <v>4</v>
      </c>
      <c r="V70">
        <v>1</v>
      </c>
      <c r="W70" t="s">
        <v>1304</v>
      </c>
      <c r="X70" t="s">
        <v>1305</v>
      </c>
      <c r="Y70">
        <v>10614</v>
      </c>
      <c r="AA70">
        <v>0</v>
      </c>
      <c r="AB70">
        <v>0</v>
      </c>
      <c r="AC70">
        <v>0</v>
      </c>
      <c r="AD70">
        <v>0</v>
      </c>
      <c r="AE70">
        <v>0</v>
      </c>
      <c r="AF70">
        <v>11</v>
      </c>
      <c r="AG70">
        <v>0</v>
      </c>
      <c r="AJ70" s="54"/>
      <c r="AK70" s="54"/>
      <c r="AL70" s="54"/>
      <c r="AP70" t="s">
        <v>1306</v>
      </c>
      <c r="AS70" t="s">
        <v>1266</v>
      </c>
      <c r="AT70">
        <v>1</v>
      </c>
      <c r="AV70">
        <v>7980</v>
      </c>
      <c r="AW70">
        <v>5307</v>
      </c>
      <c r="AX70">
        <v>2633</v>
      </c>
      <c r="AY70" t="s">
        <v>1258</v>
      </c>
      <c r="AZ70" t="s">
        <v>1260</v>
      </c>
      <c r="BA70">
        <v>7980</v>
      </c>
      <c r="BE70">
        <v>4072</v>
      </c>
      <c r="BF70">
        <v>0.49</v>
      </c>
      <c r="BG70">
        <v>5000</v>
      </c>
      <c r="BH70">
        <v>0</v>
      </c>
      <c r="BI70">
        <v>0</v>
      </c>
      <c r="BJ70">
        <v>0</v>
      </c>
      <c r="BK70">
        <v>0</v>
      </c>
      <c r="BL70">
        <v>0</v>
      </c>
      <c r="BM70">
        <v>9072</v>
      </c>
      <c r="BN70">
        <v>-0.14000000000000001</v>
      </c>
      <c r="BO70">
        <v>0</v>
      </c>
      <c r="BP70">
        <v>0</v>
      </c>
      <c r="BR70">
        <v>0</v>
      </c>
      <c r="BS70">
        <v>1995</v>
      </c>
      <c r="BX70">
        <v>0</v>
      </c>
      <c r="BY70">
        <v>0</v>
      </c>
      <c r="BZ70">
        <v>0</v>
      </c>
      <c r="CA70">
        <v>-3</v>
      </c>
      <c r="CB70">
        <v>0</v>
      </c>
      <c r="CC70">
        <v>1</v>
      </c>
      <c r="CD70" s="54">
        <v>42095</v>
      </c>
      <c r="CE70" s="54">
        <v>42219</v>
      </c>
      <c r="CF70" s="54">
        <v>42219</v>
      </c>
      <c r="CG70" s="54">
        <v>42331</v>
      </c>
      <c r="CH70" s="54"/>
      <c r="CI70" s="54"/>
      <c r="CJ70">
        <v>0.27</v>
      </c>
      <c r="CK70">
        <v>15798</v>
      </c>
      <c r="CL70">
        <v>0.06</v>
      </c>
      <c r="CM70">
        <v>0</v>
      </c>
      <c r="CN70">
        <v>0.69</v>
      </c>
      <c r="CO70">
        <v>0.14000000000000001</v>
      </c>
      <c r="CP70">
        <v>0</v>
      </c>
      <c r="CQ70" t="s">
        <v>1269</v>
      </c>
      <c r="CR70" t="s">
        <v>613</v>
      </c>
      <c r="CS70" t="s">
        <v>1307</v>
      </c>
      <c r="CT70" t="s">
        <v>1268</v>
      </c>
      <c r="CU70" t="s">
        <v>1308</v>
      </c>
      <c r="CV70" t="s">
        <v>1506</v>
      </c>
      <c r="CW70" t="s">
        <v>613</v>
      </c>
      <c r="CX70" t="s">
        <v>1378</v>
      </c>
      <c r="DC70" t="s">
        <v>1379</v>
      </c>
      <c r="DE70" t="s">
        <v>1313</v>
      </c>
    </row>
    <row r="71" spans="1:109" x14ac:dyDescent="0.25">
      <c r="A71" t="s">
        <v>1027</v>
      </c>
      <c r="B71">
        <v>7</v>
      </c>
      <c r="C71" s="54">
        <v>42331</v>
      </c>
      <c r="D71" t="s">
        <v>1301</v>
      </c>
      <c r="E71" t="s">
        <v>1507</v>
      </c>
      <c r="G71" t="s">
        <v>1508</v>
      </c>
      <c r="H71" t="s">
        <v>1256</v>
      </c>
      <c r="I71" t="s">
        <v>1256</v>
      </c>
      <c r="J71" t="s">
        <v>1256</v>
      </c>
      <c r="K71" t="s">
        <v>1256</v>
      </c>
      <c r="L71">
        <v>1074</v>
      </c>
      <c r="M71">
        <v>0</v>
      </c>
      <c r="N71">
        <v>0</v>
      </c>
      <c r="O71" s="54">
        <v>0</v>
      </c>
      <c r="P71" s="54">
        <v>0</v>
      </c>
      <c r="Q71">
        <v>6</v>
      </c>
      <c r="R71">
        <v>3</v>
      </c>
      <c r="S71">
        <v>16</v>
      </c>
      <c r="T71">
        <v>12</v>
      </c>
      <c r="U71">
        <v>4</v>
      </c>
      <c r="V71">
        <v>1</v>
      </c>
      <c r="X71" t="s">
        <v>1305</v>
      </c>
      <c r="AA71">
        <v>0</v>
      </c>
      <c r="AB71">
        <v>0</v>
      </c>
      <c r="AC71">
        <v>0</v>
      </c>
      <c r="AD71">
        <v>0</v>
      </c>
      <c r="AE71">
        <v>0</v>
      </c>
      <c r="AF71">
        <v>2</v>
      </c>
      <c r="AG71">
        <v>0</v>
      </c>
      <c r="AJ71" s="54"/>
      <c r="AK71" s="54"/>
      <c r="AL71" s="54"/>
      <c r="AO71">
        <v>5</v>
      </c>
      <c r="AP71" t="s">
        <v>1306</v>
      </c>
      <c r="AS71" t="s">
        <v>1266</v>
      </c>
      <c r="AT71">
        <v>1</v>
      </c>
      <c r="AV71">
        <v>5</v>
      </c>
      <c r="AW71">
        <v>3</v>
      </c>
      <c r="AX71">
        <v>2</v>
      </c>
      <c r="AY71" t="s">
        <v>1260</v>
      </c>
      <c r="AZ71" t="s">
        <v>1260</v>
      </c>
      <c r="BA71">
        <v>5</v>
      </c>
      <c r="BE71">
        <v>11</v>
      </c>
      <c r="BF71">
        <v>-1.2</v>
      </c>
      <c r="BG71">
        <v>0</v>
      </c>
      <c r="BH71">
        <v>0</v>
      </c>
      <c r="BI71">
        <v>0</v>
      </c>
      <c r="BJ71">
        <v>0</v>
      </c>
      <c r="BK71">
        <v>0</v>
      </c>
      <c r="BL71">
        <v>0</v>
      </c>
      <c r="BM71">
        <v>11</v>
      </c>
      <c r="BN71">
        <v>-1.2</v>
      </c>
      <c r="BO71">
        <v>0</v>
      </c>
      <c r="BP71">
        <v>0</v>
      </c>
      <c r="BR71">
        <v>0</v>
      </c>
      <c r="BS71">
        <v>1</v>
      </c>
      <c r="BT71">
        <v>2</v>
      </c>
      <c r="BX71">
        <v>0</v>
      </c>
      <c r="BY71">
        <v>6444</v>
      </c>
      <c r="BZ71">
        <v>0</v>
      </c>
      <c r="CA71">
        <v>-3</v>
      </c>
      <c r="CB71">
        <v>0</v>
      </c>
      <c r="CC71">
        <v>1</v>
      </c>
      <c r="CD71" s="54">
        <v>42095</v>
      </c>
      <c r="CE71" s="54">
        <v>42219</v>
      </c>
      <c r="CF71" s="54">
        <v>42219</v>
      </c>
      <c r="CG71" s="54">
        <v>42331</v>
      </c>
      <c r="CH71" s="54"/>
      <c r="CI71" s="54"/>
      <c r="CJ71">
        <v>0.15</v>
      </c>
      <c r="CK71">
        <v>0</v>
      </c>
      <c r="CL71">
        <v>0.02</v>
      </c>
      <c r="CM71">
        <v>0</v>
      </c>
      <c r="CN71">
        <v>0</v>
      </c>
      <c r="CO71">
        <v>0</v>
      </c>
      <c r="CP71">
        <v>0.86</v>
      </c>
      <c r="CQ71" t="s">
        <v>1269</v>
      </c>
      <c r="CR71" t="s">
        <v>613</v>
      </c>
      <c r="CS71" t="s">
        <v>1307</v>
      </c>
      <c r="CT71" t="s">
        <v>1268</v>
      </c>
      <c r="CU71" t="s">
        <v>1308</v>
      </c>
      <c r="CV71" t="s">
        <v>1509</v>
      </c>
      <c r="CW71" t="s">
        <v>1365</v>
      </c>
      <c r="CX71" t="s">
        <v>1311</v>
      </c>
      <c r="DC71" t="s">
        <v>1318</v>
      </c>
      <c r="DE71" t="s">
        <v>1313</v>
      </c>
    </row>
    <row r="72" spans="1:109" x14ac:dyDescent="0.25">
      <c r="A72" t="s">
        <v>1027</v>
      </c>
      <c r="B72">
        <v>7</v>
      </c>
      <c r="C72" s="54">
        <v>42331</v>
      </c>
      <c r="D72" t="s">
        <v>1301</v>
      </c>
      <c r="E72" t="s">
        <v>1510</v>
      </c>
      <c r="G72" t="s">
        <v>1511</v>
      </c>
      <c r="H72" t="s">
        <v>1256</v>
      </c>
      <c r="I72" t="s">
        <v>1256</v>
      </c>
      <c r="J72" t="s">
        <v>1256</v>
      </c>
      <c r="K72" t="s">
        <v>1256</v>
      </c>
      <c r="L72">
        <v>4279.12</v>
      </c>
      <c r="M72">
        <v>0</v>
      </c>
      <c r="N72">
        <v>0</v>
      </c>
      <c r="O72" s="54">
        <v>0</v>
      </c>
      <c r="P72" s="54">
        <v>0</v>
      </c>
      <c r="Q72">
        <v>6</v>
      </c>
      <c r="R72">
        <v>3</v>
      </c>
      <c r="S72">
        <v>16</v>
      </c>
      <c r="T72">
        <v>12</v>
      </c>
      <c r="U72">
        <v>4</v>
      </c>
      <c r="V72">
        <v>1</v>
      </c>
      <c r="X72" t="s">
        <v>1315</v>
      </c>
      <c r="AA72">
        <v>0</v>
      </c>
      <c r="AB72">
        <v>0</v>
      </c>
      <c r="AC72">
        <v>0</v>
      </c>
      <c r="AD72">
        <v>0</v>
      </c>
      <c r="AE72">
        <v>0</v>
      </c>
      <c r="AF72">
        <v>11</v>
      </c>
      <c r="AG72">
        <v>0</v>
      </c>
      <c r="AJ72" s="54"/>
      <c r="AK72" s="54"/>
      <c r="AL72" s="54"/>
      <c r="AO72">
        <v>2</v>
      </c>
      <c r="AP72" t="s">
        <v>1306</v>
      </c>
      <c r="AS72" t="s">
        <v>1266</v>
      </c>
      <c r="AT72">
        <v>1</v>
      </c>
      <c r="AV72">
        <v>3</v>
      </c>
      <c r="AW72">
        <v>2</v>
      </c>
      <c r="AX72">
        <v>1</v>
      </c>
      <c r="AY72" t="s">
        <v>1260</v>
      </c>
      <c r="AZ72" t="s">
        <v>1260</v>
      </c>
      <c r="BA72">
        <v>4</v>
      </c>
      <c r="BE72">
        <v>6</v>
      </c>
      <c r="BF72">
        <v>-1</v>
      </c>
      <c r="BG72">
        <v>0</v>
      </c>
      <c r="BH72">
        <v>0</v>
      </c>
      <c r="BI72">
        <v>0</v>
      </c>
      <c r="BJ72">
        <v>0</v>
      </c>
      <c r="BK72">
        <v>0</v>
      </c>
      <c r="BL72">
        <v>0</v>
      </c>
      <c r="BM72">
        <v>6</v>
      </c>
      <c r="BN72">
        <v>-1</v>
      </c>
      <c r="BO72">
        <v>0</v>
      </c>
      <c r="BP72">
        <v>0</v>
      </c>
      <c r="BR72">
        <v>0</v>
      </c>
      <c r="BS72">
        <v>1</v>
      </c>
      <c r="BX72">
        <v>0</v>
      </c>
      <c r="BY72">
        <v>12837.36</v>
      </c>
      <c r="BZ72">
        <v>0</v>
      </c>
      <c r="CA72">
        <v>-3</v>
      </c>
      <c r="CB72">
        <v>0</v>
      </c>
      <c r="CC72">
        <v>1</v>
      </c>
      <c r="CD72" s="54">
        <v>42230</v>
      </c>
      <c r="CE72" s="54">
        <v>42230</v>
      </c>
      <c r="CF72" s="54">
        <v>42230</v>
      </c>
      <c r="CG72" s="54">
        <v>42342</v>
      </c>
      <c r="CH72" s="54"/>
      <c r="CI72" s="54"/>
      <c r="CJ72">
        <v>0.24</v>
      </c>
      <c r="CK72">
        <v>0</v>
      </c>
      <c r="CL72">
        <v>0.05</v>
      </c>
      <c r="CM72">
        <v>0</v>
      </c>
      <c r="CN72">
        <v>0</v>
      </c>
      <c r="CO72">
        <v>0</v>
      </c>
      <c r="CP72">
        <v>0.83</v>
      </c>
      <c r="CQ72" t="s">
        <v>1269</v>
      </c>
      <c r="CR72" t="s">
        <v>613</v>
      </c>
      <c r="CS72" t="s">
        <v>1307</v>
      </c>
      <c r="CT72" t="s">
        <v>1268</v>
      </c>
      <c r="CU72" t="s">
        <v>1308</v>
      </c>
      <c r="CV72" t="s">
        <v>1512</v>
      </c>
      <c r="CW72" t="s">
        <v>1513</v>
      </c>
      <c r="CX72" t="s">
        <v>1311</v>
      </c>
      <c r="DC72" t="s">
        <v>1318</v>
      </c>
      <c r="DE72" t="s">
        <v>1313</v>
      </c>
    </row>
    <row r="73" spans="1:109" x14ac:dyDescent="0.25">
      <c r="A73" t="s">
        <v>1027</v>
      </c>
      <c r="B73">
        <v>7</v>
      </c>
      <c r="C73" s="54">
        <v>42331</v>
      </c>
      <c r="D73" t="s">
        <v>1301</v>
      </c>
      <c r="E73" t="s">
        <v>1297</v>
      </c>
      <c r="G73" t="s">
        <v>1514</v>
      </c>
      <c r="H73" t="s">
        <v>1256</v>
      </c>
      <c r="I73" t="s">
        <v>1256</v>
      </c>
      <c r="J73" t="s">
        <v>1256</v>
      </c>
      <c r="K73" t="s">
        <v>1256</v>
      </c>
      <c r="L73">
        <v>0</v>
      </c>
      <c r="M73">
        <v>0</v>
      </c>
      <c r="N73">
        <v>0</v>
      </c>
      <c r="O73" s="54">
        <v>0</v>
      </c>
      <c r="P73" s="54">
        <v>0</v>
      </c>
      <c r="Q73">
        <v>6</v>
      </c>
      <c r="R73">
        <v>3</v>
      </c>
      <c r="S73">
        <v>16</v>
      </c>
      <c r="T73">
        <v>12</v>
      </c>
      <c r="U73">
        <v>4</v>
      </c>
      <c r="V73">
        <v>1</v>
      </c>
      <c r="W73" t="s">
        <v>1304</v>
      </c>
      <c r="X73" t="s">
        <v>1305</v>
      </c>
      <c r="Y73">
        <v>1862</v>
      </c>
      <c r="AA73">
        <v>0</v>
      </c>
      <c r="AB73">
        <v>0</v>
      </c>
      <c r="AC73">
        <v>0</v>
      </c>
      <c r="AD73">
        <v>0</v>
      </c>
      <c r="AE73">
        <v>0</v>
      </c>
      <c r="AF73">
        <v>100</v>
      </c>
      <c r="AG73">
        <v>0</v>
      </c>
      <c r="AJ73" s="54"/>
      <c r="AK73" s="54"/>
      <c r="AL73" s="54"/>
      <c r="AP73" t="s">
        <v>1306</v>
      </c>
      <c r="AS73" t="s">
        <v>1266</v>
      </c>
      <c r="AT73">
        <v>1</v>
      </c>
      <c r="AV73">
        <v>1400</v>
      </c>
      <c r="AW73">
        <v>931</v>
      </c>
      <c r="AX73">
        <v>462</v>
      </c>
      <c r="AY73" t="s">
        <v>839</v>
      </c>
      <c r="AZ73" t="s">
        <v>839</v>
      </c>
      <c r="BA73">
        <v>1400</v>
      </c>
      <c r="BE73">
        <v>0</v>
      </c>
      <c r="BF73">
        <v>1</v>
      </c>
      <c r="BG73">
        <v>0</v>
      </c>
      <c r="BH73">
        <v>0</v>
      </c>
      <c r="BI73">
        <v>0</v>
      </c>
      <c r="BJ73">
        <v>0</v>
      </c>
      <c r="BK73">
        <v>0</v>
      </c>
      <c r="BL73">
        <v>0</v>
      </c>
      <c r="BM73">
        <v>0</v>
      </c>
      <c r="BN73">
        <v>1</v>
      </c>
      <c r="BO73">
        <v>0</v>
      </c>
      <c r="BP73">
        <v>0</v>
      </c>
      <c r="BR73">
        <v>1400</v>
      </c>
      <c r="BS73">
        <v>350</v>
      </c>
      <c r="BX73">
        <v>0</v>
      </c>
      <c r="BY73">
        <v>0</v>
      </c>
      <c r="BZ73">
        <v>0</v>
      </c>
      <c r="CA73">
        <v>0</v>
      </c>
      <c r="CB73">
        <v>0</v>
      </c>
      <c r="CC73">
        <v>1</v>
      </c>
      <c r="CD73" s="54">
        <v>42095</v>
      </c>
      <c r="CE73" s="54">
        <v>42219</v>
      </c>
      <c r="CF73" s="54">
        <v>42219</v>
      </c>
      <c r="CG73" s="54">
        <v>42331</v>
      </c>
      <c r="CH73" s="54"/>
      <c r="CI73" s="54"/>
      <c r="CJ73">
        <v>1</v>
      </c>
      <c r="CK73">
        <v>44352</v>
      </c>
      <c r="CL73">
        <v>0.88</v>
      </c>
      <c r="CM73">
        <v>0</v>
      </c>
      <c r="CN73">
        <v>0</v>
      </c>
      <c r="CO73">
        <v>0</v>
      </c>
      <c r="CP73">
        <v>0</v>
      </c>
      <c r="CQ73" t="s">
        <v>1269</v>
      </c>
      <c r="CR73" t="s">
        <v>613</v>
      </c>
      <c r="CS73" t="s">
        <v>1307</v>
      </c>
      <c r="CT73" t="s">
        <v>1268</v>
      </c>
      <c r="CU73" t="s">
        <v>1308</v>
      </c>
      <c r="CV73" t="s">
        <v>1515</v>
      </c>
      <c r="CW73" t="s">
        <v>1390</v>
      </c>
      <c r="CX73" t="s">
        <v>1378</v>
      </c>
      <c r="DC73" t="s">
        <v>1391</v>
      </c>
      <c r="DE73" t="s">
        <v>1516</v>
      </c>
    </row>
    <row r="74" spans="1:109" x14ac:dyDescent="0.25">
      <c r="A74" t="s">
        <v>1027</v>
      </c>
      <c r="B74">
        <v>7</v>
      </c>
      <c r="C74" s="54">
        <v>42331</v>
      </c>
      <c r="D74" t="s">
        <v>1301</v>
      </c>
      <c r="E74" t="s">
        <v>1517</v>
      </c>
      <c r="G74" t="s">
        <v>1518</v>
      </c>
      <c r="H74" t="s">
        <v>1256</v>
      </c>
      <c r="I74" t="s">
        <v>1256</v>
      </c>
      <c r="J74" t="s">
        <v>1256</v>
      </c>
      <c r="K74" t="s">
        <v>1256</v>
      </c>
      <c r="L74">
        <v>660.15</v>
      </c>
      <c r="M74">
        <v>0</v>
      </c>
      <c r="N74">
        <v>0</v>
      </c>
      <c r="O74" s="54">
        <v>0</v>
      </c>
      <c r="P74" s="54">
        <v>0</v>
      </c>
      <c r="Q74">
        <v>6</v>
      </c>
      <c r="R74">
        <v>3</v>
      </c>
      <c r="S74">
        <v>16</v>
      </c>
      <c r="T74">
        <v>12</v>
      </c>
      <c r="U74">
        <v>4</v>
      </c>
      <c r="V74">
        <v>1</v>
      </c>
      <c r="W74" t="s">
        <v>1304</v>
      </c>
      <c r="X74" t="s">
        <v>1305</v>
      </c>
      <c r="Y74">
        <v>24</v>
      </c>
      <c r="AA74">
        <v>0</v>
      </c>
      <c r="AB74">
        <v>0</v>
      </c>
      <c r="AC74">
        <v>0</v>
      </c>
      <c r="AD74">
        <v>0</v>
      </c>
      <c r="AE74">
        <v>0</v>
      </c>
      <c r="AF74">
        <v>96</v>
      </c>
      <c r="AG74">
        <v>0</v>
      </c>
      <c r="AJ74" s="54"/>
      <c r="AK74" s="54"/>
      <c r="AL74" s="54"/>
      <c r="AP74" t="s">
        <v>1306</v>
      </c>
      <c r="AS74" t="s">
        <v>1266</v>
      </c>
      <c r="AT74">
        <v>1</v>
      </c>
      <c r="AV74">
        <v>18</v>
      </c>
      <c r="AW74">
        <v>12</v>
      </c>
      <c r="AX74">
        <v>6</v>
      </c>
      <c r="AY74" t="s">
        <v>839</v>
      </c>
      <c r="AZ74" t="s">
        <v>1260</v>
      </c>
      <c r="BA74">
        <v>18</v>
      </c>
      <c r="BE74">
        <v>0</v>
      </c>
      <c r="BF74">
        <v>1</v>
      </c>
      <c r="BG74">
        <v>20</v>
      </c>
      <c r="BH74">
        <v>0</v>
      </c>
      <c r="BI74">
        <v>0</v>
      </c>
      <c r="BJ74">
        <v>0</v>
      </c>
      <c r="BK74">
        <v>0</v>
      </c>
      <c r="BL74">
        <v>0</v>
      </c>
      <c r="BM74">
        <v>20</v>
      </c>
      <c r="BN74">
        <v>-0.11</v>
      </c>
      <c r="BO74">
        <v>0</v>
      </c>
      <c r="BP74">
        <v>0</v>
      </c>
      <c r="BR74">
        <v>0</v>
      </c>
      <c r="BS74">
        <v>5</v>
      </c>
      <c r="BX74">
        <v>-3960.9</v>
      </c>
      <c r="BY74">
        <v>0</v>
      </c>
      <c r="BZ74">
        <v>0</v>
      </c>
      <c r="CA74">
        <v>-3</v>
      </c>
      <c r="CB74">
        <v>0</v>
      </c>
      <c r="CC74">
        <v>1</v>
      </c>
      <c r="CD74" s="54">
        <v>42095</v>
      </c>
      <c r="CE74" s="54">
        <v>42219</v>
      </c>
      <c r="CF74" s="54">
        <v>42219</v>
      </c>
      <c r="CG74" s="54">
        <v>42331</v>
      </c>
      <c r="CH74" s="54"/>
      <c r="CI74" s="54"/>
      <c r="CJ74">
        <v>4.82</v>
      </c>
      <c r="CK74">
        <v>573.36</v>
      </c>
      <c r="CL74">
        <v>0.84</v>
      </c>
      <c r="CM74">
        <v>0.04</v>
      </c>
      <c r="CN74">
        <v>0</v>
      </c>
      <c r="CO74">
        <v>0</v>
      </c>
      <c r="CP74">
        <v>0</v>
      </c>
      <c r="CQ74" t="s">
        <v>1269</v>
      </c>
      <c r="CR74" t="s">
        <v>613</v>
      </c>
      <c r="CS74" t="s">
        <v>1307</v>
      </c>
      <c r="CT74" t="s">
        <v>1268</v>
      </c>
      <c r="CU74" t="s">
        <v>1308</v>
      </c>
      <c r="CV74" t="s">
        <v>1519</v>
      </c>
      <c r="CW74" t="s">
        <v>1368</v>
      </c>
      <c r="CX74" t="s">
        <v>1311</v>
      </c>
      <c r="DC74" t="s">
        <v>1318</v>
      </c>
      <c r="DE74" t="s">
        <v>1313</v>
      </c>
    </row>
    <row r="75" spans="1:109" x14ac:dyDescent="0.25">
      <c r="A75" t="s">
        <v>1027</v>
      </c>
      <c r="B75">
        <v>7</v>
      </c>
      <c r="C75" s="54">
        <v>42331</v>
      </c>
      <c r="D75" t="s">
        <v>1301</v>
      </c>
      <c r="E75" t="s">
        <v>1520</v>
      </c>
      <c r="G75" t="s">
        <v>1521</v>
      </c>
      <c r="H75" t="s">
        <v>1256</v>
      </c>
      <c r="I75" t="s">
        <v>1256</v>
      </c>
      <c r="J75" t="s">
        <v>1256</v>
      </c>
      <c r="K75" t="s">
        <v>1256</v>
      </c>
      <c r="L75">
        <v>2119.2199999999998</v>
      </c>
      <c r="M75">
        <v>0</v>
      </c>
      <c r="N75">
        <v>0</v>
      </c>
      <c r="O75" s="54">
        <v>0</v>
      </c>
      <c r="P75" s="54">
        <v>0</v>
      </c>
      <c r="Q75">
        <v>6</v>
      </c>
      <c r="R75">
        <v>3</v>
      </c>
      <c r="S75">
        <v>16</v>
      </c>
      <c r="T75">
        <v>12</v>
      </c>
      <c r="U75">
        <v>4</v>
      </c>
      <c r="V75">
        <v>1</v>
      </c>
      <c r="X75" t="s">
        <v>1315</v>
      </c>
      <c r="AA75">
        <v>0</v>
      </c>
      <c r="AB75">
        <v>0</v>
      </c>
      <c r="AC75">
        <v>0</v>
      </c>
      <c r="AD75">
        <v>0</v>
      </c>
      <c r="AE75">
        <v>0</v>
      </c>
      <c r="AF75">
        <v>11</v>
      </c>
      <c r="AG75">
        <v>0</v>
      </c>
      <c r="AJ75" s="54"/>
      <c r="AK75" s="54"/>
      <c r="AL75" s="54"/>
      <c r="AP75" t="s">
        <v>1306</v>
      </c>
      <c r="AS75" t="s">
        <v>1266</v>
      </c>
      <c r="AT75">
        <v>1</v>
      </c>
      <c r="AV75">
        <v>5</v>
      </c>
      <c r="AW75">
        <v>3</v>
      </c>
      <c r="AX75">
        <v>2</v>
      </c>
      <c r="AY75" t="s">
        <v>1260</v>
      </c>
      <c r="AZ75" t="s">
        <v>1260</v>
      </c>
      <c r="BA75">
        <v>6</v>
      </c>
      <c r="BE75">
        <v>5.3</v>
      </c>
      <c r="BF75">
        <v>-0.06</v>
      </c>
      <c r="BG75">
        <v>2</v>
      </c>
      <c r="BH75">
        <v>0</v>
      </c>
      <c r="BI75">
        <v>0</v>
      </c>
      <c r="BJ75">
        <v>0</v>
      </c>
      <c r="BK75">
        <v>0</v>
      </c>
      <c r="BL75">
        <v>0</v>
      </c>
      <c r="BM75">
        <v>7.3</v>
      </c>
      <c r="BN75">
        <v>-0.46</v>
      </c>
      <c r="BO75">
        <v>0</v>
      </c>
      <c r="BP75">
        <v>0</v>
      </c>
      <c r="BR75">
        <v>0</v>
      </c>
      <c r="BS75">
        <v>1</v>
      </c>
      <c r="BX75">
        <v>0</v>
      </c>
      <c r="BY75">
        <v>635.77</v>
      </c>
      <c r="BZ75">
        <v>0</v>
      </c>
      <c r="CA75">
        <v>-3</v>
      </c>
      <c r="CB75">
        <v>0</v>
      </c>
      <c r="CC75">
        <v>1</v>
      </c>
      <c r="CD75" s="54">
        <v>42230</v>
      </c>
      <c r="CE75" s="54">
        <v>42230</v>
      </c>
      <c r="CF75" s="54">
        <v>42230</v>
      </c>
      <c r="CG75" s="54">
        <v>42342</v>
      </c>
      <c r="CH75" s="54"/>
      <c r="CI75" s="54"/>
      <c r="CJ75">
        <v>0.39</v>
      </c>
      <c r="CK75">
        <v>0</v>
      </c>
      <c r="CL75">
        <v>0.05</v>
      </c>
      <c r="CM75">
        <v>0</v>
      </c>
      <c r="CN75">
        <v>0.24</v>
      </c>
      <c r="CO75">
        <v>0.08</v>
      </c>
      <c r="CP75">
        <v>0.5</v>
      </c>
      <c r="CQ75" t="s">
        <v>1269</v>
      </c>
      <c r="CR75" t="s">
        <v>613</v>
      </c>
      <c r="CS75" t="s">
        <v>1307</v>
      </c>
      <c r="CT75" t="s">
        <v>1268</v>
      </c>
      <c r="CU75" t="s">
        <v>1308</v>
      </c>
      <c r="CV75" t="s">
        <v>1522</v>
      </c>
      <c r="CW75" t="s">
        <v>1523</v>
      </c>
      <c r="CX75" t="s">
        <v>1311</v>
      </c>
      <c r="DC75" t="s">
        <v>1312</v>
      </c>
      <c r="DE75" t="s">
        <v>1313</v>
      </c>
    </row>
    <row r="76" spans="1:109" x14ac:dyDescent="0.25">
      <c r="A76" t="s">
        <v>1027</v>
      </c>
      <c r="B76">
        <v>7</v>
      </c>
      <c r="C76" s="54">
        <v>42331</v>
      </c>
      <c r="D76" t="s">
        <v>1301</v>
      </c>
      <c r="E76" t="s">
        <v>1298</v>
      </c>
      <c r="G76" t="s">
        <v>1524</v>
      </c>
      <c r="H76" t="s">
        <v>1256</v>
      </c>
      <c r="I76" t="s">
        <v>1256</v>
      </c>
      <c r="J76" t="s">
        <v>1256</v>
      </c>
      <c r="K76" t="s">
        <v>1256</v>
      </c>
      <c r="L76">
        <v>0</v>
      </c>
      <c r="M76">
        <v>0</v>
      </c>
      <c r="N76">
        <v>0</v>
      </c>
      <c r="O76" s="54">
        <v>0</v>
      </c>
      <c r="P76" s="54">
        <v>0</v>
      </c>
      <c r="Q76">
        <v>6</v>
      </c>
      <c r="R76">
        <v>5</v>
      </c>
      <c r="S76">
        <v>16</v>
      </c>
      <c r="T76">
        <v>12</v>
      </c>
      <c r="U76">
        <v>4</v>
      </c>
      <c r="V76">
        <v>1</v>
      </c>
      <c r="W76" t="s">
        <v>1304</v>
      </c>
      <c r="X76" t="s">
        <v>1305</v>
      </c>
      <c r="Y76">
        <v>80</v>
      </c>
      <c r="AA76">
        <v>0</v>
      </c>
      <c r="AB76">
        <v>0</v>
      </c>
      <c r="AC76">
        <v>0</v>
      </c>
      <c r="AD76">
        <v>0</v>
      </c>
      <c r="AE76">
        <v>0</v>
      </c>
      <c r="AF76">
        <v>100</v>
      </c>
      <c r="AG76">
        <v>0</v>
      </c>
      <c r="AJ76" s="54"/>
      <c r="AK76" s="54"/>
      <c r="AL76" s="54"/>
      <c r="AP76" t="s">
        <v>1306</v>
      </c>
      <c r="AS76" t="s">
        <v>1266</v>
      </c>
      <c r="AT76">
        <v>1</v>
      </c>
      <c r="AV76">
        <v>60</v>
      </c>
      <c r="AW76">
        <v>40</v>
      </c>
      <c r="AX76">
        <v>20</v>
      </c>
      <c r="AY76" t="s">
        <v>839</v>
      </c>
      <c r="AZ76" t="s">
        <v>839</v>
      </c>
      <c r="BA76">
        <v>60</v>
      </c>
      <c r="BE76">
        <v>0</v>
      </c>
      <c r="BF76">
        <v>1</v>
      </c>
      <c r="BG76">
        <v>0</v>
      </c>
      <c r="BH76">
        <v>0</v>
      </c>
      <c r="BI76">
        <v>0</v>
      </c>
      <c r="BJ76">
        <v>0</v>
      </c>
      <c r="BK76">
        <v>0</v>
      </c>
      <c r="BL76">
        <v>0</v>
      </c>
      <c r="BM76">
        <v>0</v>
      </c>
      <c r="BN76">
        <v>1</v>
      </c>
      <c r="BO76">
        <v>0</v>
      </c>
      <c r="BP76">
        <v>0</v>
      </c>
      <c r="BR76">
        <v>60</v>
      </c>
      <c r="BS76">
        <v>15</v>
      </c>
      <c r="BX76">
        <v>0</v>
      </c>
      <c r="BY76">
        <v>0</v>
      </c>
      <c r="BZ76">
        <v>0</v>
      </c>
      <c r="CA76">
        <v>0</v>
      </c>
      <c r="CB76">
        <v>0</v>
      </c>
      <c r="CC76">
        <v>1</v>
      </c>
      <c r="CD76" s="54">
        <v>42095</v>
      </c>
      <c r="CE76" s="54">
        <v>42219</v>
      </c>
      <c r="CF76" s="54">
        <v>42219</v>
      </c>
      <c r="CG76" s="54">
        <v>42331</v>
      </c>
      <c r="CH76" s="54"/>
      <c r="CI76" s="54"/>
      <c r="CJ76">
        <v>1</v>
      </c>
      <c r="CK76">
        <v>1920</v>
      </c>
      <c r="CL76">
        <v>0.88</v>
      </c>
      <c r="CM76">
        <v>0</v>
      </c>
      <c r="CN76">
        <v>0</v>
      </c>
      <c r="CO76">
        <v>0</v>
      </c>
      <c r="CP76">
        <v>0</v>
      </c>
      <c r="CQ76" t="s">
        <v>1269</v>
      </c>
      <c r="CR76" t="s">
        <v>613</v>
      </c>
      <c r="CS76" t="s">
        <v>1307</v>
      </c>
      <c r="CT76" t="s">
        <v>1268</v>
      </c>
      <c r="CU76" t="s">
        <v>1525</v>
      </c>
      <c r="CV76" t="s">
        <v>1526</v>
      </c>
      <c r="CW76" t="s">
        <v>1527</v>
      </c>
      <c r="CX76" t="s">
        <v>1528</v>
      </c>
      <c r="DC76" t="s">
        <v>1529</v>
      </c>
      <c r="DE76" t="s">
        <v>1530</v>
      </c>
    </row>
    <row r="77" spans="1:109" x14ac:dyDescent="0.25">
      <c r="A77" t="s">
        <v>1027</v>
      </c>
      <c r="B77">
        <v>7</v>
      </c>
      <c r="C77" s="54">
        <v>42331</v>
      </c>
      <c r="D77" t="s">
        <v>1301</v>
      </c>
      <c r="E77" t="s">
        <v>1299</v>
      </c>
      <c r="G77" t="s">
        <v>1531</v>
      </c>
      <c r="H77" t="s">
        <v>1256</v>
      </c>
      <c r="I77" t="s">
        <v>1256</v>
      </c>
      <c r="J77" t="s">
        <v>1256</v>
      </c>
      <c r="K77" t="s">
        <v>1256</v>
      </c>
      <c r="L77">
        <v>0</v>
      </c>
      <c r="M77">
        <v>0</v>
      </c>
      <c r="N77">
        <v>0</v>
      </c>
      <c r="O77" s="54">
        <v>0</v>
      </c>
      <c r="P77" s="54">
        <v>0</v>
      </c>
      <c r="Q77">
        <v>6</v>
      </c>
      <c r="R77">
        <v>3</v>
      </c>
      <c r="S77">
        <v>16</v>
      </c>
      <c r="T77">
        <v>12</v>
      </c>
      <c r="U77">
        <v>4</v>
      </c>
      <c r="V77">
        <v>1</v>
      </c>
      <c r="W77" t="s">
        <v>1304</v>
      </c>
      <c r="X77" t="s">
        <v>1305</v>
      </c>
      <c r="Y77">
        <v>7980</v>
      </c>
      <c r="AA77">
        <v>0</v>
      </c>
      <c r="AB77">
        <v>0</v>
      </c>
      <c r="AC77">
        <v>0</v>
      </c>
      <c r="AD77">
        <v>0</v>
      </c>
      <c r="AE77">
        <v>0</v>
      </c>
      <c r="AF77">
        <v>100</v>
      </c>
      <c r="AG77">
        <v>0</v>
      </c>
      <c r="AJ77" s="54"/>
      <c r="AK77" s="54"/>
      <c r="AL77" s="54"/>
      <c r="AP77" t="s">
        <v>1306</v>
      </c>
      <c r="AS77" t="s">
        <v>1266</v>
      </c>
      <c r="AT77">
        <v>1</v>
      </c>
      <c r="AV77">
        <v>6000</v>
      </c>
      <c r="AW77">
        <v>3990</v>
      </c>
      <c r="AX77">
        <v>1980</v>
      </c>
      <c r="AY77" t="s">
        <v>839</v>
      </c>
      <c r="AZ77" t="s">
        <v>839</v>
      </c>
      <c r="BA77">
        <v>6000</v>
      </c>
      <c r="BE77">
        <v>0</v>
      </c>
      <c r="BF77">
        <v>1</v>
      </c>
      <c r="BG77">
        <v>0</v>
      </c>
      <c r="BH77">
        <v>0</v>
      </c>
      <c r="BI77">
        <v>0</v>
      </c>
      <c r="BJ77">
        <v>0</v>
      </c>
      <c r="BK77">
        <v>0</v>
      </c>
      <c r="BL77">
        <v>0</v>
      </c>
      <c r="BM77">
        <v>0</v>
      </c>
      <c r="BN77">
        <v>1</v>
      </c>
      <c r="BO77">
        <v>0</v>
      </c>
      <c r="BP77">
        <v>0</v>
      </c>
      <c r="BR77">
        <v>6000</v>
      </c>
      <c r="BS77">
        <v>1500</v>
      </c>
      <c r="BX77">
        <v>0</v>
      </c>
      <c r="BY77">
        <v>0</v>
      </c>
      <c r="BZ77">
        <v>0</v>
      </c>
      <c r="CA77">
        <v>0</v>
      </c>
      <c r="CB77">
        <v>0</v>
      </c>
      <c r="CC77">
        <v>1</v>
      </c>
      <c r="CD77" s="54">
        <v>42095</v>
      </c>
      <c r="CE77" s="54">
        <v>42219</v>
      </c>
      <c r="CF77" s="54">
        <v>42219</v>
      </c>
      <c r="CG77" s="54">
        <v>42331</v>
      </c>
      <c r="CH77" s="54"/>
      <c r="CI77" s="54"/>
      <c r="CJ77">
        <v>1</v>
      </c>
      <c r="CK77">
        <v>190080</v>
      </c>
      <c r="CL77">
        <v>0.88</v>
      </c>
      <c r="CM77">
        <v>0</v>
      </c>
      <c r="CN77">
        <v>0</v>
      </c>
      <c r="CO77">
        <v>0</v>
      </c>
      <c r="CP77">
        <v>0</v>
      </c>
      <c r="CQ77" t="s">
        <v>1269</v>
      </c>
      <c r="CR77" t="s">
        <v>613</v>
      </c>
      <c r="CS77" t="s">
        <v>1307</v>
      </c>
      <c r="CT77" t="s">
        <v>1268</v>
      </c>
      <c r="CU77" t="s">
        <v>1308</v>
      </c>
      <c r="CV77" t="s">
        <v>1532</v>
      </c>
      <c r="CW77" t="s">
        <v>1533</v>
      </c>
      <c r="CX77" t="s">
        <v>1311</v>
      </c>
      <c r="DC77" t="s">
        <v>1318</v>
      </c>
      <c r="DE77" t="s">
        <v>1313</v>
      </c>
    </row>
    <row r="78" spans="1:109" x14ac:dyDescent="0.25">
      <c r="A78" t="s">
        <v>1027</v>
      </c>
      <c r="B78">
        <v>7</v>
      </c>
      <c r="C78" s="54">
        <v>42331</v>
      </c>
      <c r="D78" t="s">
        <v>1301</v>
      </c>
      <c r="E78" t="s">
        <v>1300</v>
      </c>
      <c r="G78" t="s">
        <v>1534</v>
      </c>
      <c r="H78" t="s">
        <v>1256</v>
      </c>
      <c r="I78" t="s">
        <v>1256</v>
      </c>
      <c r="J78" t="s">
        <v>1256</v>
      </c>
      <c r="K78" t="s">
        <v>1256</v>
      </c>
      <c r="L78">
        <v>0</v>
      </c>
      <c r="M78">
        <v>0</v>
      </c>
      <c r="N78">
        <v>0</v>
      </c>
      <c r="O78" s="54">
        <v>0</v>
      </c>
      <c r="P78" s="54">
        <v>0</v>
      </c>
      <c r="Q78">
        <v>6</v>
      </c>
      <c r="R78">
        <v>3</v>
      </c>
      <c r="S78">
        <v>16</v>
      </c>
      <c r="T78">
        <v>12</v>
      </c>
      <c r="U78">
        <v>4</v>
      </c>
      <c r="V78">
        <v>1</v>
      </c>
      <c r="W78" t="s">
        <v>1304</v>
      </c>
      <c r="X78" t="s">
        <v>1305</v>
      </c>
      <c r="Y78">
        <v>1330</v>
      </c>
      <c r="AA78">
        <v>0</v>
      </c>
      <c r="AB78">
        <v>0</v>
      </c>
      <c r="AC78">
        <v>0</v>
      </c>
      <c r="AD78">
        <v>0</v>
      </c>
      <c r="AE78">
        <v>0</v>
      </c>
      <c r="AF78">
        <v>44</v>
      </c>
      <c r="AG78">
        <v>0</v>
      </c>
      <c r="AJ78" s="54"/>
      <c r="AK78" s="54"/>
      <c r="AL78" s="54"/>
      <c r="AP78" t="s">
        <v>1306</v>
      </c>
      <c r="AS78" t="s">
        <v>1266</v>
      </c>
      <c r="AT78">
        <v>1</v>
      </c>
      <c r="AV78">
        <v>1000</v>
      </c>
      <c r="AW78">
        <v>665</v>
      </c>
      <c r="AX78">
        <v>330</v>
      </c>
      <c r="AY78" t="s">
        <v>839</v>
      </c>
      <c r="AZ78" t="s">
        <v>839</v>
      </c>
      <c r="BA78">
        <v>1000</v>
      </c>
      <c r="BE78">
        <v>0</v>
      </c>
      <c r="BF78">
        <v>1</v>
      </c>
      <c r="BG78">
        <v>0</v>
      </c>
      <c r="BH78">
        <v>0</v>
      </c>
      <c r="BI78">
        <v>0</v>
      </c>
      <c r="BJ78">
        <v>0</v>
      </c>
      <c r="BK78">
        <v>0</v>
      </c>
      <c r="BL78">
        <v>0</v>
      </c>
      <c r="BM78">
        <v>0</v>
      </c>
      <c r="BN78">
        <v>1</v>
      </c>
      <c r="BO78">
        <v>0</v>
      </c>
      <c r="BP78">
        <v>0</v>
      </c>
      <c r="BR78">
        <v>1000</v>
      </c>
      <c r="BS78">
        <v>250</v>
      </c>
      <c r="BX78">
        <v>0</v>
      </c>
      <c r="BY78">
        <v>0</v>
      </c>
      <c r="BZ78">
        <v>0</v>
      </c>
      <c r="CA78">
        <v>0</v>
      </c>
      <c r="CB78">
        <v>0</v>
      </c>
      <c r="CC78">
        <v>1</v>
      </c>
      <c r="CD78" s="54">
        <v>42095</v>
      </c>
      <c r="CE78" s="54">
        <v>42219</v>
      </c>
      <c r="CF78" s="54">
        <v>42219</v>
      </c>
      <c r="CG78" s="54">
        <v>42331</v>
      </c>
      <c r="CH78" s="54"/>
      <c r="CI78" s="54"/>
      <c r="CJ78">
        <v>0.85</v>
      </c>
      <c r="CK78">
        <v>31232</v>
      </c>
      <c r="CL78">
        <v>0.37</v>
      </c>
      <c r="CM78">
        <v>0.51</v>
      </c>
      <c r="CN78">
        <v>0</v>
      </c>
      <c r="CO78">
        <v>0</v>
      </c>
      <c r="CP78">
        <v>0</v>
      </c>
      <c r="CQ78" t="s">
        <v>1269</v>
      </c>
      <c r="CR78" t="s">
        <v>613</v>
      </c>
      <c r="CS78" t="s">
        <v>1307</v>
      </c>
      <c r="CT78" t="s">
        <v>1268</v>
      </c>
      <c r="CU78" t="s">
        <v>1308</v>
      </c>
      <c r="CV78" t="s">
        <v>1535</v>
      </c>
      <c r="CW78" t="s">
        <v>1464</v>
      </c>
      <c r="CX78" t="s">
        <v>1311</v>
      </c>
      <c r="DC78" t="s">
        <v>1318</v>
      </c>
      <c r="DE78" t="s">
        <v>1313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2"/>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27</v>
      </c>
      <c r="B1" t="s">
        <v>29</v>
      </c>
      <c r="C1" t="s">
        <v>1145</v>
      </c>
      <c r="D1" t="s">
        <v>1147</v>
      </c>
      <c r="F1" t="s">
        <v>1146</v>
      </c>
      <c r="G1" t="s">
        <v>1147</v>
      </c>
    </row>
    <row r="2" spans="1:7" x14ac:dyDescent="0.25">
      <c r="C2" s="47"/>
      <c r="D2" s="3"/>
      <c r="F2" s="47"/>
      <c r="G2" s="53"/>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23</vt:i4>
      </vt:variant>
    </vt:vector>
  </HeadingPairs>
  <TitlesOfParts>
    <vt:vector size="39" baseType="lpstr">
      <vt:lpstr>TRANSFERENCIA</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MarciaSalazar</cp:lastModifiedBy>
  <cp:lastPrinted>2012-09-10T17:11:01Z</cp:lastPrinted>
  <dcterms:created xsi:type="dcterms:W3CDTF">2010-03-30T06:48:36Z</dcterms:created>
  <dcterms:modified xsi:type="dcterms:W3CDTF">2015-11-23T23:19:14Z</dcterms:modified>
</cp:coreProperties>
</file>