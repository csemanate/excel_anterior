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"/>
    </mc:Choice>
  </mc:AlternateContent>
  <bookViews>
    <workbookView xWindow="0" yWindow="137400" windowWidth="11490" windowHeight="1740"/>
  </bookViews>
  <sheets>
    <sheet name="CENTROCONTROL" sheetId="1" r:id="rId1"/>
    <sheet name="Fechas_Refrescado" sheetId="30" state="hidden" r:id="rId2"/>
    <sheet name="Directorios" sheetId="29" state="hidden" r:id="rId3"/>
    <sheet name="EMPRESA" sheetId="3" state="hidden" r:id="rId4"/>
    <sheet name="EMPRESABODEGA" sheetId="20" state="hidden" r:id="rId5"/>
    <sheet name="ARCHIVOSCB" sheetId="2" state="hidden" r:id="rId6"/>
    <sheet name="ARCHIVOSBODEGAS" sheetId="19" state="hidden" r:id="rId7"/>
    <sheet name="PERFIL" sheetId="21" state="hidden" r:id="rId8"/>
    <sheet name="PROVEEDORES" sheetId="18" state="hidden" r:id="rId9"/>
    <sheet name="DIAS_RESTANTES" sheetId="4" state="hidden" r:id="rId10"/>
    <sheet name="NUMERO_ITEMS" sheetId="5" state="hidden" r:id="rId11"/>
    <sheet name="TRANSFERENCIAS" sheetId="13" state="hidden" r:id="rId12"/>
    <sheet name="ITEMS_EMPRESA" sheetId="14" state="hidden" r:id="rId13"/>
    <sheet name="PATH" sheetId="15" state="hidden" r:id="rId14"/>
    <sheet name="AUX" sheetId="16" state="hidden" r:id="rId15"/>
    <sheet name="BorraTransfer" sheetId="17" state="hidden" r:id="rId16"/>
    <sheet name="ITEMS_SELECCIONADOS" sheetId="22" state="hidden" r:id="rId17"/>
    <sheet name="DURACION" sheetId="23" state="hidden" r:id="rId18"/>
    <sheet name="Parametros" sheetId="24" state="hidden" r:id="rId19"/>
    <sheet name="Alertas" sheetId="25" state="hidden" r:id="rId20"/>
    <sheet name="USER" sheetId="26" state="veryHidden" r:id="rId21"/>
    <sheet name="ArchivosPermitidos" sheetId="27" state="hidden" r:id="rId22"/>
  </sheets>
  <functionGroups builtInGroupCount="18"/>
  <externalReferences>
    <externalReference r:id="rId23"/>
  </externalReferences>
  <definedNames>
    <definedName name="_cboEmpresa_Range" localSheetId="0" hidden="1">{19.5,0,TRUE,3,63,99.75}</definedName>
    <definedName name="_cboSeleccion_Range" localSheetId="0" hidden="1">{21,0.75,TRUE,3,39.75,639.75}</definedName>
    <definedName name="_cmd_Actualiza_bd_Range" localSheetId="0" hidden="1">{20.25,333,TRUE,3,63,23.25}</definedName>
    <definedName name="_cmd_Alertas_Actuales_Range" localSheetId="0" hidden="1">{13.5,375.75,TRUE,3,165,27}</definedName>
    <definedName name="_cmd_refresca_items_Range" localSheetId="0" hidden="1">{20.25,363,TRUE,3,63,23.25}</definedName>
    <definedName name="_cmdBorrarTransferDadaBaja_Range" localSheetId="15" hidden="1">{61.5,11.25,TRUE,2,81.75,300}</definedName>
    <definedName name="_cmdBuscaCodigo_Range" localSheetId="0" hidden="1">{19.5,586.5,TRUE,3,297.75,120}</definedName>
    <definedName name="_cmdBuscar_Range" localSheetId="0" hidden="1">{45,2.25,TRUE,3,87.75,54.75}</definedName>
    <definedName name="_cmdCambiaUsuario_Range" localSheetId="0" hidden="1">{14.25,0,TRUE,3,33,48}</definedName>
    <definedName name="_cmdCargarInventario_Range" localSheetId="0" hidden="1">{20.25,747.75,TRUE,3,36.75,54}</definedName>
    <definedName name="_cmdConsolidarREPORTES_Range" localSheetId="0" hidden="1">{21,749.25,TRUE,3,12.75,75}</definedName>
    <definedName name="_cmdControl_Range" localSheetId="0" hidden="1">{22.5,429,TRUE,3,87.75,54.75}</definedName>
    <definedName name="_cmdFiltraCodigo_Range" localSheetId="0" hidden="1">{19.5,586.5,TRUE,3,318,120}</definedName>
    <definedName name="_cmdFiltraConsolidado_Range" localSheetId="0" hidden="1">{19.5,586.5,TRUE,3,275.25,120}</definedName>
    <definedName name="_cmdGestionBuffers_Range" localSheetId="0" hidden="1">{45,58.5,TRUE,3,87.75,71.25}</definedName>
    <definedName name="_cmdGraficoIndividual_Range" localSheetId="0" hidden="1">{19.5,586.5,TRUE,3,339,120}</definedName>
    <definedName name="_cmdMantenimiento_Range" localSheetId="0" hidden="1">{20.25,388.5,TRUE,3,63,95.25}</definedName>
    <definedName name="_cmdNoBorrar_Range" localSheetId="15" hidden="1">{40.5,11.25,TRUE,2,155.25,299.25}</definedName>
    <definedName name="_cmdOK_Range" localSheetId="0" hidden="1">{21.75,711,TRUE,2,357.75,38.25}</definedName>
    <definedName name="_cmdRefrescar_Range" localSheetId="0" hidden="1">{21,105,TRUE,3,63,106.5}</definedName>
    <definedName name="_cmdReportes_Range" localSheetId="0" hidden="1">{22.5,249.75,TRUE,3,87.75,99.75}</definedName>
    <definedName name="_cmdReportesExpress_Range" localSheetId="0" hidden="1">{22.5,249.75,TRUE,3,109.5,99.75}</definedName>
    <definedName name="_cmdTraeFechasRefrescado_Range" localSheetId="0" hidden="1">{20.25,223.5,TRUE,3,62.25,54}</definedName>
    <definedName name="_cmdTransferencias_Range" localSheetId="0" hidden="1">{45,129.75,TRUE,3,87.75,75}</definedName>
    <definedName name="_cmdVistas_Range" localSheetId="0" hidden="1">{18.75,205.5,TRUE,3,87.75,23.25}</definedName>
    <definedName name="_cmdVolver_Range" localSheetId="19" hidden="1">{21.75,1.5,TRUE,2,0.75,70.5}</definedName>
    <definedName name="_cmdVolver_Range" localSheetId="9" hidden="1">{21.75,468,TRUE,3,4.5,57.75}</definedName>
    <definedName name="_cmdVolver_Range" localSheetId="1" hidden="1">{21.75,0.75,TRUE,3,0,40.5}</definedName>
    <definedName name="_cmdVolver_Range" localSheetId="10" hidden="1">{21.75,510.75,TRUE,3,2.25,57.75}</definedName>
    <definedName name="_lblBodegas_Range" localSheetId="0" hidden="1">{18,582,TRUE,2,357.75,102.75}</definedName>
    <definedName name="_lstArchivos_Range" localSheetId="0" hidden="1">{300,3.75,TRUE,2,246.75,479.25}</definedName>
    <definedName name="_lstBodegas_Range" localSheetId="0" hidden="1">{200.25,583.5,TRUE,3,378,249.75}</definedName>
    <definedName name="_Refrescar_Alertas_Range" localSheetId="0" hidden="1">{13.5,402,TRUE,3,165,23.25}</definedName>
    <definedName name="ACTUALIZACIONBODEGA">CENTROCONTROL!$I$8</definedName>
    <definedName name="ACTUALIZACIONCONSUMO">CENTROCONTROL!$I$12</definedName>
    <definedName name="ACTUALIZACIONHISTRANSFER">CENTROCONTROL!$I$11</definedName>
    <definedName name="ACTUALIZACIONINVENTARIO">CENTROCONTROL!$I$9</definedName>
    <definedName name="ACTUALIZACIONPRODUCTO">CENTROCONTROL!$I$10</definedName>
    <definedName name="BODEGAS">Tabla_EmpresaBodega[BODEGA]</definedName>
    <definedName name="Consulta_desde_Central_Control_Buffers" localSheetId="13" hidden="1">PATH!$G$1:$I$2</definedName>
    <definedName name="Consulta_desde_DatosConsolidados" localSheetId="12" hidden="1">ITEMS_EMPRESA!$A$1:$B$2</definedName>
    <definedName name="Consulta_desde_DatosConsolidados" localSheetId="13" hidden="1">PATH!$A$1:$D$2</definedName>
    <definedName name="Consulta_desde_DatosConsolidados_1" localSheetId="12" hidden="1">ITEMS_EMPRESA!$D$1:$D$2</definedName>
    <definedName name="Consulta_desde_ODBC_RAM_CAS" localSheetId="3" hidden="1">EMPRESA!$A$1:$A$3</definedName>
    <definedName name="Consulta_desde_ODBC_RAMCAS1" localSheetId="18" hidden="1">Parametros!$A$1:$B$6</definedName>
    <definedName name="Consulta_desde_ODBC_RAMCAS1" localSheetId="13" hidden="1">PATH!$K$1:$M$2</definedName>
    <definedName name="Consulta_desde_ODBC_RAMCAS1" localSheetId="8" hidden="1">PROVEEDORES!#REF!</definedName>
    <definedName name="DIR">Directorios!$A$1</definedName>
    <definedName name="DURACIONREFRESCADO">DURACION!$B$4</definedName>
    <definedName name="EMPRESA" comment="Rango que se utiliza para llenar el combobox donde se elije en qué empresa se está trabajando.">Tabla_EMPRESA[NombreEmpresa]</definedName>
    <definedName name="FECHAACTUALIZACION">CENTROCONTROL!#REF!</definedName>
    <definedName name="FECHAREFRESCADO">CENTROCONTROL!$I$6</definedName>
    <definedName name="FINREFRESCADO">DURACION!$B$2</definedName>
    <definedName name="HojasCB_cla">USER!$B$4</definedName>
    <definedName name="HojasCB_user">USER!$A$4</definedName>
    <definedName name="HORAAPAGADO">CENTROCONTROL!$I$14</definedName>
    <definedName name="HORAREFRESCADO">CENTROCONTROL!$I$13</definedName>
    <definedName name="INICIOREFRESCADO">DURACION!$B$1</definedName>
    <definedName name="ItemsSeleccionados">tblItemsSeleccionados[]</definedName>
    <definedName name="PATH">ARCHIVOSCB[PATH]</definedName>
    <definedName name="Path_Transferencias_Batch">OFFSET(Tabla_Parametros[[#Headers],[par_valor1]],MATCH("Path Transferencias Batch",Tabla_Parametros[par_nombre],0),0,1,1)</definedName>
    <definedName name="PathExcel">CENTROCONTROL!$I$15</definedName>
    <definedName name="PATHTRANSFERENCIA">TRANSFERENCIAS!$AO$1</definedName>
    <definedName name="REFRESCADO">CENTROCONTROL!$I$5</definedName>
    <definedName name="TABLA">OFFSET(INICIO,0,0,COUNTA([1]TRANSFERENCIA!$A:$A)-4,COUNTA([1]TRANSFERENCIA!$8:$8))</definedName>
    <definedName name="TIPO">AUX!$A$1</definedName>
    <definedName name="Trans_Dada_Baja" comment="Sitio donde se almacena el path completo de la transferencia dada de baja recientemente">AUX!$B$1</definedName>
    <definedName name="US">USER!$A$1</definedName>
    <definedName name="USUARIO">CENTROCONTROL!$P$1048576</definedName>
  </definedNames>
  <calcPr calcId="152511"/>
</workbook>
</file>

<file path=xl/calcChain.xml><?xml version="1.0" encoding="utf-8"?>
<calcChain xmlns="http://schemas.openxmlformats.org/spreadsheetml/2006/main">
  <c r="C2" i="24" l="1"/>
  <c r="C3" i="24"/>
  <c r="C4" i="24"/>
  <c r="C5" i="24"/>
  <c r="C6" i="24"/>
  <c r="C4" i="30" l="1"/>
  <c r="E4" i="30"/>
  <c r="F4" i="30"/>
  <c r="H4" i="30"/>
  <c r="I4" i="30"/>
  <c r="J4" i="30"/>
  <c r="K4" i="30"/>
  <c r="L4" i="30"/>
  <c r="M4" i="30"/>
  <c r="N4" i="30"/>
  <c r="G2" i="30"/>
  <c r="G3" i="30"/>
  <c r="G4" i="30" l="1"/>
  <c r="D10" i="1" l="1"/>
  <c r="E9" i="1"/>
  <c r="D9" i="1"/>
  <c r="A15" i="1" l="1"/>
  <c r="A14" i="1" l="1"/>
  <c r="A13" i="1"/>
  <c r="B7" i="5" l="1"/>
  <c r="C7" i="5"/>
  <c r="D7" i="5"/>
  <c r="D6" i="5"/>
  <c r="D5" i="5"/>
  <c r="D4" i="5"/>
  <c r="D3" i="5"/>
  <c r="D12" i="1" l="1" a="1"/>
  <c r="D12" i="1" s="1"/>
  <c r="B11" i="1" l="1"/>
  <c r="B10" i="1"/>
  <c r="A10" i="1"/>
  <c r="A11" i="1" l="1"/>
  <c r="A1" i="29" l="1"/>
  <c r="B4" i="23" l="1"/>
  <c r="D11" i="1" l="1"/>
  <c r="C6" i="4" l="1"/>
  <c r="C5" i="4"/>
  <c r="C3" i="4"/>
  <c r="C4" i="4"/>
  <c r="I7" i="1" l="1"/>
  <c r="A4" i="17" l="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</calcChain>
</file>

<file path=xl/connections.xml><?xml version="1.0" encoding="utf-8"?>
<connections xmlns="http://schemas.openxmlformats.org/spreadsheetml/2006/main">
  <connection id="1" name="conexión" type="4" refreshedVersion="0" background="1">
    <webPr xml="1" sourceData="1" parsePre="1" consecutive="1" url="D:\Documents CAS\Desktop\conexión.xml" htmlTables="1"/>
  </connection>
  <connection id="2" name="Consulta desde Central Control Buffers" type="1" refreshedVersion="3" background="1" saveData="1">
    <dbPr connection="DBQ=C:\RAM CAS\MEJORA CONTINUA\CENTRAL CONTROL BUFFERS.xlsm;DefaultDir=C:\RAM CAS\MEJORA CONTINUA;Driver={Microsoft Excel Driver (*.xls, *.xlsx, *.xlsm, *.xlsb)};DriverId=1046;FIL=excel 12.0;MaxBufferSize=2048;MaxScanRows=8;PageTimeout=5;ReadOnly=1;SafeTransactions=0;Threads=3;UID=admin;UserCommitSync=Yes;" command="SELECT `ARCHIVOSBODEGAS$`.BODEGA, `ARCHIVOSBODEGAS$`.ARCHIVO, `ARCHIVOSBODEGAS$`.PATH_x000d__x000a_FROM `ARCHIVOSBODEGAS$` `ARCHIVOSBODEGAS$`_x000d__x000a_WHERE (`ARCHIVOSBODEGAS$`.BODEGA='Bogota comercio') AND (`ARCHIVOSBODEGAS$`.ARCHIVO='Contro Buffers.xlsm')"/>
  </connection>
  <connection id="3" name="Consulta desde DatosConsolidados" type="1" refreshedVersion="5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Codigo, `CONSOLIDADO$`.Bodega_x000d__x000a_FROM `CONSOLIDADO$` `CONSOLIDADO$`_x000d__x000a_ORDER BY `CONSOLIDADO$`.Codigo"/>
  </connection>
  <connection id="4" name="Consulta desde DatosConsolidados1" type="1" refreshedVersion="5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DISTINCT `CONSOLIDADO$`.Codigo_x000d__x000a_FROM `CONSOLIDADO$` `CONSOLIDADO$`_x000d__x000a_ORDER BY `CONSOLIDADO$`.Codigo"/>
  </connection>
  <connection id="5" name="Consulta desde DatosConsolidados2" type="1" refreshedVersion="5" background="1" saveData="1">
    <dbPr connection="DBQ=D:\Documents CAS\RAM CAS\MEJORA CONTINUA\CONTROL DE BUFFERS\REPORTES\REPORTES.xlsm;DefaultDir=D:\Documents CAS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Empresa, `CONSOLIDADO$`.Bodega, `CONSOLIDADO$`.Codigo, `CONSOLIDADO$`.Archivo_x000d__x000a_FROM `CONSOLIDADO$` `CONSOLIDADO$`_x000d__x000a_WHERE (`CONSOLIDADO$`.Bodega='BDG. DE PRODUCTO TERMI PLANTA') AND (`CONSOLIDADO$`.Codigo='H233C100')"/>
  </connection>
  <connection id="6" name="Consulta desde ODBC RAM CAS" type="1" refreshedVersion="5" saveData="1">
    <dbPr connection="DSN=ODBC RAMCAS1;SERVER=localhost;UID=cb;DATABASE=ramcas;PORT=3306;COLUMN_SIZE_S32=1_x0000_" command="select emp_nombre as NombreEmpresa from empresa"/>
  </connection>
  <connection id="7" name="Consulta desde ODBC RAMCAS1" type="1" refreshedVersion="5" saveData="1">
    <dbPr connection="DSN=ODBC RAMCAS1;" command="SELECT_x000d__x000a_bodega.bod_nombre AS 'BODEGA',_x000d__x000a_archivo.ach_nombre AS 'ARCHIVO',_x000d__x000a_archivo.ach_path AS 'PATH'_x000d__x000a_FROM_x000d__x000a_archivo_x000d__x000a_INNER JOIN archivobodegaperfil ON archivo.archivo_id = archivobodegaperfil.abp_archivo_id_x000d__x000a_INNER JOIN bodega ON bodega.bodega_id = archivobodegaperfil.abp_bodega_id where archivo.ach_nombre='CENTRAL.xlsm' AND bodega.bod_nombre='BDG. DE PRODUCTO TERMI PLANTA'"/>
  </connection>
  <connection id="8" name="Consulta desde ODBC RAMCAS11" type="1" refreshedVersion="5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<sst xmlns="http://schemas.openxmlformats.org/spreadsheetml/2006/main" count="335" uniqueCount="151">
  <si>
    <t>AGROTA</t>
  </si>
  <si>
    <t>AGROINSUMOS</t>
  </si>
  <si>
    <t>CODIGO</t>
  </si>
  <si>
    <t>DIRECTORIO</t>
  </si>
  <si>
    <t>ARCHIVO</t>
  </si>
  <si>
    <t>EMPRESA</t>
  </si>
  <si>
    <t>BODEGA</t>
  </si>
  <si>
    <t>Control Buffers.xlsm</t>
  </si>
  <si>
    <t>PATH</t>
  </si>
  <si>
    <t>Archivo</t>
  </si>
  <si>
    <t>FIN PERÍODO</t>
  </si>
  <si>
    <t>RESTAN</t>
  </si>
  <si>
    <t>ITEMS CON BUFFER</t>
  </si>
  <si>
    <t>TODOS ITEMS</t>
  </si>
  <si>
    <t>C:\RAM CAS\MEJORA CONTINUA\INVENTARIOS\HISTORIAL INVENTARIOS\TRANSFERENCIAS ABIERTAS\226 _ 26-8-2010 - LOCAL - AGROINSUMOSMATERIAPRIMA.xlsm</t>
  </si>
  <si>
    <t>COMPRAS-LOCALES.xlsm</t>
  </si>
  <si>
    <t>IMPORTACIONES.xlsm</t>
  </si>
  <si>
    <t>FREC REP</t>
  </si>
  <si>
    <t>TIEMP SUMINIS</t>
  </si>
  <si>
    <t>Codigo</t>
  </si>
  <si>
    <t>Descripcion</t>
  </si>
  <si>
    <t>Grupo</t>
  </si>
  <si>
    <t>Linea</t>
  </si>
  <si>
    <t>Bodega</t>
  </si>
  <si>
    <t>Empresa</t>
  </si>
  <si>
    <t>Bodega Recortada</t>
  </si>
  <si>
    <t>T NIV SER (DIAS)</t>
  </si>
  <si>
    <t>HORIZONTE</t>
  </si>
  <si>
    <t>SUKAMPO</t>
  </si>
  <si>
    <t>CENTRAL.xlsm</t>
  </si>
  <si>
    <t>SUCRE.xlsm</t>
  </si>
  <si>
    <t>CENTRALPROPIA.xlsm</t>
  </si>
  <si>
    <t>TabARCHIVO</t>
  </si>
  <si>
    <t>C:\RAM CAS\MEJORA CONTINUA\CONTROL DE BUFFERS\AGROTA\CENTRAL</t>
  </si>
  <si>
    <t>C:\RAM CAS\MEJORA CONTINUA\CONTROL DE BUFFERS\AGROINSUMOS\CENTRAL</t>
  </si>
  <si>
    <t>C:\RAM CAS\MEJORA CONTINUA\CONTROL DE BUFFERS\AGROINSUMOS\AGRONUEVO</t>
  </si>
  <si>
    <t>C:\RAM CAS\MEJORA CONTINUA\CONTROL DE BUFFERS\AGROINSUMOS\AGROHERMANOSLEON</t>
  </si>
  <si>
    <t>C:\RAM CAS\MEJORA CONTINUA\CONTROL DE BUFFERS\AGROINSUMOS\MONCAYOLOPEZ</t>
  </si>
  <si>
    <t>C:\RAM CAS\MEJORA CONTINUA\CONTROL DE BUFFERS\AGROINSUMOS\LAFINCA</t>
  </si>
  <si>
    <t>C:\RAM CAS\MEJORA CONTINUA\CONTROL DE BUFFERS\AGROINSUMOS\EIGUANCHI</t>
  </si>
  <si>
    <t>C:\RAM CAS\MEJORA CONTINUA\CONTROL DE BUFFERS\SUKAMPO\CENTRAL</t>
  </si>
  <si>
    <t>C:\RAM CAS\MEJORA CONTINUA\CONTROL DE BUFFERS\SUKAMPO\SUCRE</t>
  </si>
  <si>
    <t>C:\RAM CAS\MEJORA CONTINUA\CONTROL DE BUFFERS\SUKAMPO\CENTRALPROPIA</t>
  </si>
  <si>
    <t>Proveedor</t>
  </si>
  <si>
    <t>Prioridad</t>
  </si>
  <si>
    <t>DÍAS RESTANTES POR ARCHIVO</t>
  </si>
  <si>
    <t>C:\RAM CAS\MEJORA CONTINUA\CONTROL DE BUFFERS\AGROINSUMOS\MATERIAPRIMA</t>
  </si>
  <si>
    <t>ACCESORIOS.xlsm</t>
  </si>
  <si>
    <t>ECHO.xlsm</t>
  </si>
  <si>
    <t>SHINDAIWA.xlsm</t>
  </si>
  <si>
    <t>MAQ-ECHO-SHINDAIWA.xlsm</t>
  </si>
  <si>
    <t>LINEA-JF.xlsm</t>
  </si>
  <si>
    <t>C:\RAM CAS\MEJORA CONTINUA\CONTROL DE BUFFERS\AGROTA\MAXGUAYAQUIL</t>
  </si>
  <si>
    <t>C:\RAM CAS\MEJORA CONTINUA\CONTROL DE BUFFERS\AGROTA\PROMACOFI</t>
  </si>
  <si>
    <t>C:\RAM CAS\MEJORA CONTINUA\CONTROL DE BUFFERS\AGROTA\EIGUANCHI</t>
  </si>
  <si>
    <t>PERFIL</t>
  </si>
  <si>
    <t>NombreEmpresa</t>
  </si>
  <si>
    <t>TRANSFERENCIA DADA DE BAJA</t>
  </si>
  <si>
    <t>C:\RAM CAS\MEJORA CONTINUA\INVENTARIOS\HISTORIAL INVENTARIOS\TRANSFERENCIAS ABIERTAS\595 _ 8-4-2013 - IMPORTACIÓN - AGROTACENTRAL.xlsm</t>
  </si>
  <si>
    <t>COMPLETO</t>
  </si>
  <si>
    <t>Estado</t>
  </si>
  <si>
    <t>Fecha Refrescado</t>
  </si>
  <si>
    <t>Fecha Bodega</t>
  </si>
  <si>
    <t>Fecha Inventario</t>
  </si>
  <si>
    <t>Fecha Producto</t>
  </si>
  <si>
    <t>Inicio Refrescado</t>
  </si>
  <si>
    <t>Fin Refrescado</t>
  </si>
  <si>
    <t>Duración</t>
  </si>
  <si>
    <t>Hora Refrescado</t>
  </si>
  <si>
    <t>par_nombre</t>
  </si>
  <si>
    <t>par_valor</t>
  </si>
  <si>
    <t>par_valor1</t>
  </si>
  <si>
    <t>REPUESTOS.xlsm</t>
  </si>
  <si>
    <t>Fecha Histransferencia</t>
  </si>
  <si>
    <t>Fecha Consumo</t>
  </si>
  <si>
    <t>ADICIONALES.xlsm</t>
  </si>
  <si>
    <t>CASCOS-BATERIAS.xlsm</t>
  </si>
  <si>
    <t>LLANTAS.xlsm</t>
  </si>
  <si>
    <t>Hora Apagado</t>
  </si>
  <si>
    <t>% ITEMS CON BUFFER</t>
  </si>
  <si>
    <t>TOTALES</t>
  </si>
  <si>
    <t>Path Transferencias Batch</t>
  </si>
  <si>
    <t>Path Buffers Consolidados</t>
  </si>
  <si>
    <t>Path Exportación Datos Consolidados</t>
  </si>
  <si>
    <t>Autenticación Hojas CB</t>
  </si>
  <si>
    <t>O:</t>
  </si>
  <si>
    <t>Nivel de Servicio Calculado</t>
  </si>
  <si>
    <t>0</t>
  </si>
  <si>
    <t>PedidCalc Más o Menos</t>
  </si>
  <si>
    <t>DISMA</t>
  </si>
  <si>
    <t>BDG. DE PRODUCTO TERMI PLANTA</t>
  </si>
  <si>
    <t>H233C100</t>
  </si>
  <si>
    <t>Sugerencias buffers</t>
  </si>
  <si>
    <t>DATOS MANUALES</t>
  </si>
  <si>
    <t>-</t>
  </si>
  <si>
    <t>HOJA CB</t>
  </si>
  <si>
    <t>REFRESCADO</t>
  </si>
  <si>
    <t>DURACIÓN</t>
  </si>
  <si>
    <t>Usuario: admin</t>
  </si>
  <si>
    <t>admin</t>
  </si>
  <si>
    <t>AGROTA BODEGA  YAMABIKO</t>
  </si>
  <si>
    <t>Bodega Central Agrota</t>
  </si>
  <si>
    <t>AGROTA BODEGA SUCRE</t>
  </si>
  <si>
    <t>AGROTA SUKAMPO FERIA LIBRE</t>
  </si>
  <si>
    <t>BODEGA CENTRAL</t>
  </si>
  <si>
    <t>BODEGA CENTRAL MAQUINAS</t>
  </si>
  <si>
    <t>BCS</t>
  </si>
  <si>
    <t>Chatani</t>
  </si>
  <si>
    <t>Compra Local Maquinas</t>
  </si>
  <si>
    <t>Echo</t>
  </si>
  <si>
    <t>Ikra</t>
  </si>
  <si>
    <t>Jf</t>
  </si>
  <si>
    <t>Patriot</t>
  </si>
  <si>
    <t>Duaja</t>
  </si>
  <si>
    <t>EUROLATTE</t>
  </si>
  <si>
    <t>INCOMAGRI</t>
  </si>
  <si>
    <t>BORALSAN</t>
  </si>
  <si>
    <t>Sinochem</t>
  </si>
  <si>
    <t>Compra Local Quimicos</t>
  </si>
  <si>
    <t>BODEGA SATELITE AGROINSUMOS RIERA</t>
  </si>
  <si>
    <t>BODEGA SUKAMPO</t>
  </si>
  <si>
    <t>GUAYAQUIL SUKAMPO</t>
  </si>
  <si>
    <t>MATERIA PRIMA</t>
  </si>
  <si>
    <t>Agroenzimas</t>
  </si>
  <si>
    <t>PRODUCTO TERMINADO</t>
  </si>
  <si>
    <t>Agrosad</t>
  </si>
  <si>
    <t>Agroprocesos</t>
  </si>
  <si>
    <t>Mercalimsa</t>
  </si>
  <si>
    <t>ARS</t>
  </si>
  <si>
    <t>AGROTA BODEGA INCOP</t>
  </si>
  <si>
    <t>Accesorios.xlsm</t>
  </si>
  <si>
    <t>Importacion Quimicos.xlsm</t>
  </si>
  <si>
    <t>Maquinas ECHO - SHINDAIWA.xlsm</t>
  </si>
  <si>
    <t>O:\Maquinas ECHO - SHINDAIWA.xlsm</t>
  </si>
  <si>
    <t>Producto Terminado.xlsm</t>
  </si>
  <si>
    <t>NÚMERO DE ÍTEMS POR HOJA CB</t>
  </si>
  <si>
    <t>Nuevos Buffers Reales</t>
  </si>
  <si>
    <t>AUXILIARES</t>
  </si>
  <si>
    <t>INICIO</t>
  </si>
  <si>
    <t>FIN</t>
  </si>
  <si>
    <t>DIAS PERIODO</t>
  </si>
  <si>
    <t>SKUs Buffer</t>
  </si>
  <si>
    <t>SKUs Totales</t>
  </si>
  <si>
    <t>COSTO BUFFER</t>
  </si>
  <si>
    <t>COSTO FISICO</t>
  </si>
  <si>
    <t>COSTO TRANSITO</t>
  </si>
  <si>
    <t>DUPLICADOS</t>
  </si>
  <si>
    <t>Total</t>
  </si>
  <si>
    <t>O:\Accesorios.xlsm</t>
  </si>
  <si>
    <t>Completo</t>
  </si>
  <si>
    <t>SIN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</si>
</sst>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300A]d&quot; de &quot;mmmm&quot; de &quot;yyyy;@"/>
    <numFmt numFmtId="165" formatCode="[$-F400]h:mm:ss\ AM/PM"/>
    <numFmt numFmtId="166" formatCode="hh:mm:ss;@"/>
    <numFmt numFmtId="167" formatCode="&quot;$&quot;\ #,##0.00"/>
    <numFmt numFmtId="168" formatCode="dd/mm/yyyy\ hh:mm"/>
  </numFmts>
  <fonts count="17" x14ac:knownFonts="1">
    <font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Border="1"/>
    <xf numFmtId="0" fontId="0" fillId="0" borderId="0" xfId="0" applyNumberFormat="1"/>
    <xf numFmtId="0" fontId="0" fillId="0" borderId="0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Font="1"/>
    <xf numFmtId="0" fontId="0" fillId="0" borderId="0" xfId="0" applyBorder="1" applyAlignment="1">
      <alignment horizontal="center"/>
    </xf>
    <xf numFmtId="0" fontId="8" fillId="2" borderId="0" xfId="0" applyFont="1" applyFill="1"/>
    <xf numFmtId="0" fontId="0" fillId="3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0" xfId="0" applyFont="1" applyFill="1"/>
    <xf numFmtId="0" fontId="0" fillId="4" borderId="0" xfId="0" applyFill="1"/>
    <xf numFmtId="0" fontId="9" fillId="4" borderId="0" xfId="0" applyFont="1" applyFill="1"/>
    <xf numFmtId="0" fontId="10" fillId="4" borderId="0" xfId="0" applyFont="1" applyFill="1"/>
    <xf numFmtId="0" fontId="1" fillId="5" borderId="8" xfId="0" applyFont="1" applyFill="1" applyBorder="1" applyAlignment="1">
      <alignment horizontal="centerContinuous"/>
    </xf>
    <xf numFmtId="0" fontId="0" fillId="5" borderId="9" xfId="0" applyFill="1" applyBorder="1" applyAlignment="1">
      <alignment horizontal="centerContinuous"/>
    </xf>
    <xf numFmtId="0" fontId="0" fillId="5" borderId="10" xfId="0" applyFill="1" applyBorder="1" applyAlignment="1">
      <alignment horizontal="centerContinuous"/>
    </xf>
    <xf numFmtId="0" fontId="2" fillId="5" borderId="11" xfId="0" applyFont="1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6" xfId="0" applyFill="1" applyBorder="1"/>
    <xf numFmtId="0" fontId="5" fillId="5" borderId="6" xfId="0" applyFont="1" applyFill="1" applyBorder="1"/>
    <xf numFmtId="0" fontId="6" fillId="0" borderId="13" xfId="0" applyFont="1" applyFill="1" applyBorder="1"/>
    <xf numFmtId="0" fontId="0" fillId="0" borderId="0" xfId="0" applyFill="1" applyBorder="1" applyAlignment="1">
      <alignment horizontal="centerContinuous"/>
    </xf>
    <xf numFmtId="0" fontId="6" fillId="0" borderId="1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0" fillId="0" borderId="1" xfId="0" applyFill="1" applyBorder="1"/>
    <xf numFmtId="164" fontId="0" fillId="0" borderId="0" xfId="0" applyNumberFormat="1" applyBorder="1" applyAlignment="1">
      <alignment horizontal="center"/>
    </xf>
    <xf numFmtId="22" fontId="0" fillId="0" borderId="0" xfId="0" applyNumberFormat="1"/>
    <xf numFmtId="165" fontId="0" fillId="0" borderId="0" xfId="0" applyNumberFormat="1"/>
    <xf numFmtId="14" fontId="0" fillId="0" borderId="15" xfId="0" applyNumberFormat="1" applyBorder="1" applyAlignment="1">
      <alignment horizontal="center"/>
    </xf>
    <xf numFmtId="14" fontId="0" fillId="0" borderId="16" xfId="0" applyNumberFormat="1" applyBorder="1" applyAlignment="1">
      <alignment horizontal="center"/>
    </xf>
    <xf numFmtId="0" fontId="0" fillId="0" borderId="8" xfId="0" applyFill="1" applyBorder="1"/>
    <xf numFmtId="0" fontId="0" fillId="0" borderId="10" xfId="0" applyBorder="1"/>
    <xf numFmtId="166" fontId="0" fillId="0" borderId="17" xfId="0" applyNumberFormat="1" applyBorder="1" applyProtection="1">
      <protection locked="0"/>
    </xf>
    <xf numFmtId="0" fontId="0" fillId="0" borderId="4" xfId="0" applyFont="1" applyBorder="1"/>
    <xf numFmtId="0" fontId="11" fillId="0" borderId="0" xfId="0" applyFont="1"/>
    <xf numFmtId="0" fontId="7" fillId="0" borderId="18" xfId="0" applyFont="1" applyFill="1" applyBorder="1"/>
    <xf numFmtId="0" fontId="0" fillId="0" borderId="18" xfId="0" applyFill="1" applyBorder="1"/>
    <xf numFmtId="0" fontId="0" fillId="0" borderId="12" xfId="0" applyFill="1" applyBorder="1"/>
    <xf numFmtId="9" fontId="0" fillId="0" borderId="0" xfId="0" applyNumberFormat="1"/>
    <xf numFmtId="14" fontId="0" fillId="0" borderId="17" xfId="0" applyNumberFormat="1" applyBorder="1" applyProtection="1"/>
    <xf numFmtId="0" fontId="13" fillId="0" borderId="0" xfId="0" applyFont="1"/>
    <xf numFmtId="0" fontId="12" fillId="0" borderId="0" xfId="0" applyFont="1" applyBorder="1"/>
    <xf numFmtId="0" fontId="0" fillId="0" borderId="1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21" xfId="0" applyBorder="1"/>
    <xf numFmtId="0" fontId="14" fillId="0" borderId="19" xfId="1" applyFill="1" applyBorder="1"/>
    <xf numFmtId="0" fontId="15" fillId="0" borderId="20" xfId="0" applyFont="1" applyBorder="1"/>
    <xf numFmtId="0" fontId="15" fillId="0" borderId="0" xfId="0" applyFont="1" applyFill="1" applyBorder="1"/>
    <xf numFmtId="0" fontId="14" fillId="0" borderId="0" xfId="1"/>
    <xf numFmtId="0" fontId="14" fillId="0" borderId="19" xfId="1" applyBorder="1"/>
    <xf numFmtId="0" fontId="14" fillId="0" borderId="22" xfId="1" applyFill="1" applyBorder="1"/>
    <xf numFmtId="0" fontId="15" fillId="0" borderId="18" xfId="0" applyFont="1" applyBorder="1"/>
    <xf numFmtId="0" fontId="0" fillId="0" borderId="12" xfId="0" applyBorder="1"/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/>
    </xf>
    <xf numFmtId="167" fontId="0" fillId="0" borderId="0" xfId="0" applyNumberFormat="1"/>
    <xf numFmtId="14" fontId="0" fillId="0" borderId="0" xfId="0" applyNumberFormat="1"/>
    <xf numFmtId="166" fontId="0" fillId="0" borderId="0" xfId="0" applyNumberFormat="1" applyAlignment="1">
      <alignment horizontal="center"/>
    </xf>
    <xf numFmtId="0" fontId="16" fillId="0" borderId="0" xfId="0" applyFont="1"/>
    <xf numFmtId="168" fontId="0" fillId="0" borderId="0" xfId="0" applyNumberFormat="1" applyAlignment="1">
      <alignment horizontal="center"/>
    </xf>
  </cellXfs>
  <cellStyles count="2">
    <cellStyle name="Hipervínculo" xfId="1" builtinId="8"/>
    <cellStyle name="Normal" xfId="0" builtinId="0"/>
  </cellStyles>
  <dxfs count="7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800080"/>
        </patternFill>
      </fill>
    </dxf>
    <dxf>
      <font>
        <color rgb="FFFF0000"/>
      </font>
      <fill>
        <patternFill>
          <bgColor rgb="FFFFC000"/>
        </patternFill>
      </fill>
      <border>
        <vertical/>
        <horizontal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13" formatCode="0%"/>
    </dxf>
    <dxf>
      <numFmt numFmtId="13" formatCode="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300A]d&quot; de &quot;mmmm&quot; de &quot;yyyy;@"/>
      <alignment horizontal="center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7" formatCode="&quot;$&quot;\ #,##0.00"/>
    </dxf>
    <dxf>
      <numFmt numFmtId="167" formatCode="&quot;$&quot;\ #,##0.00"/>
    </dxf>
    <dxf>
      <numFmt numFmtId="167" formatCode="&quot;$&quot;\ #,##0.00"/>
    </dxf>
    <dxf>
      <numFmt numFmtId="167" formatCode="&quot;$&quot;\ #,##0.00"/>
    </dxf>
    <dxf>
      <numFmt numFmtId="167" formatCode="&quot;$&quot;\ #,##0.00"/>
    </dxf>
    <dxf>
      <numFmt numFmtId="167" formatCode="&quot;$&quot;\ #,##0.0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hh:mm:ss;@"/>
      <alignment horizontal="center" vertical="bottom" textRotation="0" wrapText="0" indent="0" justifyLastLine="0" shrinkToFit="0" readingOrder="0"/>
    </dxf>
    <dxf>
      <numFmt numFmtId="166" formatCode="hh:mm:ss;@"/>
      <alignment horizontal="center" vertical="bottom" textRotation="0" wrapText="0" indent="0" justifyLastLine="0" shrinkToFit="0" readingOrder="0"/>
    </dxf>
    <dxf>
      <numFmt numFmtId="168" formatCode="dd/mm/yyyy\ hh:mm"/>
      <alignment horizontal="center" vertical="bottom" textRotation="0" wrapText="0" indent="0" justifyLastLine="0" shrinkToFit="0" readingOrder="0"/>
    </dxf>
    <dxf>
      <numFmt numFmtId="168" formatCode="dd/mm/yyyy\ hh:mm"/>
      <alignment horizontal="center" vertical="bottom" textRotation="0" wrapText="0" indent="0" justifyLastLine="0" shrinkToFit="0" readingOrder="0"/>
    </dxf>
    <dxf>
      <numFmt numFmtId="168" formatCode="dd/mm/yyyy\ hh:mm"/>
      <alignment horizontal="center" vertical="bottom" textRotation="0" wrapText="0" indent="0" justifyLastLine="0" shrinkToFit="0" readingOrder="0"/>
    </dxf>
    <dxf>
      <numFmt numFmtId="168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006600"/>
      <color rgb="FF800080"/>
      <color rgb="FFF2F2F8"/>
      <color rgb="FFEBF6FF"/>
      <color rgb="FFE4E4E4"/>
      <color rgb="FFEBEBFF"/>
      <color rgb="FFCCCCFF"/>
      <color rgb="FFE4E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xmlns.oracle.com/adf/jndi'">
  <Schema ID="Schema1">
    <xsd:schema xmlns:xsd="http://www.w3.org/2001/XMLSchema" xmlns="">
      <xsd:element nillable="true" name="Reference">
        <xsd:complexType>
          <xsd:sequence minOccurs="0">
            <xsd:element minOccurs="0" nillable="true" name="Factory" form="unqualified">
              <xsd:complexType>
                <xsd:attribute name="className" form="unqualified" type="xsd:string"/>
              </xsd:complexType>
            </xsd:element>
            <xsd:element minOccurs="0" nillable="true" name="RefAddresses" form="unqualified">
              <xsd:complexType>
                <xsd:sequence minOccurs="0">
                  <xsd:element minOccurs="0" maxOccurs="unbounded" nillable="true" name="StringRefAddr" form="unqualified">
                    <xsd:complexType>
                      <xsd:sequence minOccurs="0">
                        <xsd:element minOccurs="0" nillable="true" type="xsd:string" name="Contents" form="unqualified"/>
                      </xsd:sequence>
                      <xsd:attribute name="addrTyp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className" form="unqualified" type="xsd:string"/>
        </xsd:complexType>
      </xsd:element>
    </xsd:schema>
  </Schema>
  <Schema ID="Schema2" SchemaRef="Schema1" Namespace="http://xmlns.oracle.com/adf/jndi">
    <xsd:schema xmlns:xsd="http://www.w3.org/2001/XMLSchema" xmlns:ns0="http://xmlns.oracle.com/adf/jndi" xmlns="" targetNamespace="http://xmlns.oracle.com/adf/jndi">
      <xsd:import/>
      <xsd:element nillable="true" name="References">
        <xsd:complexType>
          <xsd:sequence minOccurs="0">
            <xsd:element minOccurs="0" ref="Reference"/>
          </xsd:sequence>
        </xsd:complexType>
      </xsd:element>
    </xsd:schema>
  </Schema>
  <Map ID="1" Name="References_Map" RootElement="References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9.emf"/><Relationship Id="rId18" Type="http://schemas.openxmlformats.org/officeDocument/2006/relationships/image" Target="../media/image21.emf"/><Relationship Id="rId3" Type="http://schemas.openxmlformats.org/officeDocument/2006/relationships/image" Target="../media/image15.emf"/><Relationship Id="rId21" Type="http://schemas.openxmlformats.org/officeDocument/2006/relationships/image" Target="../media/image3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0.emf"/><Relationship Id="rId25" Type="http://schemas.openxmlformats.org/officeDocument/2006/relationships/image" Target="../media/image26.emf"/><Relationship Id="rId2" Type="http://schemas.openxmlformats.org/officeDocument/2006/relationships/image" Target="../media/image17.emf"/><Relationship Id="rId16" Type="http://schemas.openxmlformats.org/officeDocument/2006/relationships/image" Target="../media/image4.emf"/><Relationship Id="rId20" Type="http://schemas.openxmlformats.org/officeDocument/2006/relationships/image" Target="../media/image23.emf"/><Relationship Id="rId1" Type="http://schemas.openxmlformats.org/officeDocument/2006/relationships/image" Target="../media/image16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24" Type="http://schemas.openxmlformats.org/officeDocument/2006/relationships/image" Target="../media/image1.emf"/><Relationship Id="rId5" Type="http://schemas.openxmlformats.org/officeDocument/2006/relationships/image" Target="../media/image14.emf"/><Relationship Id="rId15" Type="http://schemas.openxmlformats.org/officeDocument/2006/relationships/image" Target="../media/image5.emf"/><Relationship Id="rId23" Type="http://schemas.openxmlformats.org/officeDocument/2006/relationships/image" Target="../media/image24.emf"/><Relationship Id="rId10" Type="http://schemas.openxmlformats.org/officeDocument/2006/relationships/image" Target="../media/image9.emf"/><Relationship Id="rId19" Type="http://schemas.openxmlformats.org/officeDocument/2006/relationships/image" Target="../media/image22.emf"/><Relationship Id="rId4" Type="http://schemas.openxmlformats.org/officeDocument/2006/relationships/image" Target="../media/image18.emf"/><Relationship Id="rId9" Type="http://schemas.openxmlformats.org/officeDocument/2006/relationships/image" Target="../media/image10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23813</xdr:colOff>
      <xdr:row>0</xdr:row>
      <xdr:rowOff>10583</xdr:rowOff>
    </xdr:from>
    <xdr:to>
      <xdr:col>9</xdr:col>
      <xdr:colOff>11906</xdr:colOff>
      <xdr:row>2</xdr:row>
      <xdr:rowOff>46302</xdr:rowOff>
    </xdr:to>
    <xdr:sp macro="[0]!Devuelve_Controles_Varias_Hojas_2" textlink="">
      <xdr:nvSpPr>
        <xdr:cNvPr id="2" name="Rectangle 1"/>
        <xdr:cNvSpPr/>
      </xdr:nvSpPr>
      <xdr:spPr>
        <a:xfrm>
          <a:off x="23813" y="10583"/>
          <a:ext cx="8298656" cy="416719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lIns="91440" tIns="45720" rIns="91440" bIns="45720" anchor="ctr" anchorCtr="0">
          <a:noAutofit/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US" sz="32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</a:rPr>
            <a:t>CENTRAL</a:t>
          </a:r>
          <a:r>
            <a:rPr lang="en-US" sz="3200" b="1" cap="none" spc="150" baseline="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</a:rPr>
            <a:t> DE CONTROL DE BUFFERS</a:t>
          </a:r>
          <a:endParaRPr lang="en-US" sz="3200" b="1" cap="none" spc="150">
            <a:ln w="11430"/>
            <a:solidFill>
              <a:srgbClr val="F8F8F8"/>
            </a:solidFill>
            <a:effectLst>
              <a:outerShdw blurRad="25400" algn="tl" rotWithShape="0">
                <a:srgbClr val="000000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28575</xdr:rowOff>
        </xdr:from>
        <xdr:to>
          <xdr:col>0</xdr:col>
          <xdr:colOff>1270000</xdr:colOff>
          <xdr:row>4</xdr:row>
          <xdr:rowOff>282575</xdr:rowOff>
        </xdr:to>
        <xdr:sp macro="" textlink="">
          <xdr:nvSpPr>
            <xdr:cNvPr id="1034" name="cboEmpres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6</xdr:row>
          <xdr:rowOff>85725</xdr:rowOff>
        </xdr:from>
        <xdr:to>
          <xdr:col>3</xdr:col>
          <xdr:colOff>695325</xdr:colOff>
          <xdr:row>7</xdr:row>
          <xdr:rowOff>171450</xdr:rowOff>
        </xdr:to>
        <xdr:sp macro="" textlink="">
          <xdr:nvSpPr>
            <xdr:cNvPr id="1035" name="cmdReportesExpres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38100</xdr:rowOff>
        </xdr:from>
        <xdr:to>
          <xdr:col>3</xdr:col>
          <xdr:colOff>695325</xdr:colOff>
          <xdr:row>6</xdr:row>
          <xdr:rowOff>95250</xdr:rowOff>
        </xdr:to>
        <xdr:sp macro="" textlink="">
          <xdr:nvSpPr>
            <xdr:cNvPr id="1036" name="cmdReport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5</xdr:row>
          <xdr:rowOff>38100</xdr:rowOff>
        </xdr:from>
        <xdr:to>
          <xdr:col>0</xdr:col>
          <xdr:colOff>723900</xdr:colOff>
          <xdr:row>7</xdr:row>
          <xdr:rowOff>180975</xdr:rowOff>
        </xdr:to>
        <xdr:sp macro="" textlink="">
          <xdr:nvSpPr>
            <xdr:cNvPr id="1045" name="cmdBuscar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</xdr:row>
          <xdr:rowOff>123825</xdr:rowOff>
        </xdr:from>
        <xdr:to>
          <xdr:col>8</xdr:col>
          <xdr:colOff>714375</xdr:colOff>
          <xdr:row>4</xdr:row>
          <xdr:rowOff>0</xdr:rowOff>
        </xdr:to>
        <xdr:sp macro="" textlink="">
          <xdr:nvSpPr>
            <xdr:cNvPr id="1046" name="cboSeleccion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20</xdr:row>
          <xdr:rowOff>47625</xdr:rowOff>
        </xdr:from>
        <xdr:to>
          <xdr:col>9</xdr:col>
          <xdr:colOff>657225</xdr:colOff>
          <xdr:row>21</xdr:row>
          <xdr:rowOff>104775</xdr:rowOff>
        </xdr:to>
        <xdr:sp macro="" textlink="">
          <xdr:nvSpPr>
            <xdr:cNvPr id="1047" name="cmdFiltraCodigo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18</xdr:row>
          <xdr:rowOff>171450</xdr:rowOff>
        </xdr:from>
        <xdr:to>
          <xdr:col>9</xdr:col>
          <xdr:colOff>657225</xdr:colOff>
          <xdr:row>20</xdr:row>
          <xdr:rowOff>38100</xdr:rowOff>
        </xdr:to>
        <xdr:sp macro="" textlink="">
          <xdr:nvSpPr>
            <xdr:cNvPr id="1048" name="cmdBuscaCodig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17</xdr:row>
          <xdr:rowOff>76200</xdr:rowOff>
        </xdr:from>
        <xdr:to>
          <xdr:col>9</xdr:col>
          <xdr:colOff>657225</xdr:colOff>
          <xdr:row>18</xdr:row>
          <xdr:rowOff>133350</xdr:rowOff>
        </xdr:to>
        <xdr:sp macro="" textlink="">
          <xdr:nvSpPr>
            <xdr:cNvPr id="1049" name="cmdFiltraConsolidad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24</xdr:row>
          <xdr:rowOff>47625</xdr:rowOff>
        </xdr:from>
        <xdr:to>
          <xdr:col>11</xdr:col>
          <xdr:colOff>742950</xdr:colOff>
          <xdr:row>37</xdr:row>
          <xdr:rowOff>114300</xdr:rowOff>
        </xdr:to>
        <xdr:sp macro="" textlink="">
          <xdr:nvSpPr>
            <xdr:cNvPr id="1050" name="lstBodega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171450</xdr:rowOff>
        </xdr:from>
        <xdr:to>
          <xdr:col>9</xdr:col>
          <xdr:colOff>381000</xdr:colOff>
          <xdr:row>24</xdr:row>
          <xdr:rowOff>19050</xdr:rowOff>
        </xdr:to>
        <xdr:sp macro="" textlink="">
          <xdr:nvSpPr>
            <xdr:cNvPr id="1051" name="lblBodega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714375</xdr:colOff>
          <xdr:row>22</xdr:row>
          <xdr:rowOff>171450</xdr:rowOff>
        </xdr:from>
        <xdr:to>
          <xdr:col>10</xdr:col>
          <xdr:colOff>438150</xdr:colOff>
          <xdr:row>24</xdr:row>
          <xdr:rowOff>66675</xdr:rowOff>
        </xdr:to>
        <xdr:sp macro="" textlink="">
          <xdr:nvSpPr>
            <xdr:cNvPr id="1052" name="cmd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5</xdr:row>
          <xdr:rowOff>38100</xdr:rowOff>
        </xdr:from>
        <xdr:to>
          <xdr:col>5</xdr:col>
          <xdr:colOff>733425</xdr:colOff>
          <xdr:row>6</xdr:row>
          <xdr:rowOff>95250</xdr:rowOff>
        </xdr:to>
        <xdr:sp macro="" textlink="">
          <xdr:nvSpPr>
            <xdr:cNvPr id="1053" name="cmdControl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21</xdr:row>
          <xdr:rowOff>123825</xdr:rowOff>
        </xdr:from>
        <xdr:to>
          <xdr:col>9</xdr:col>
          <xdr:colOff>657225</xdr:colOff>
          <xdr:row>22</xdr:row>
          <xdr:rowOff>180975</xdr:rowOff>
        </xdr:to>
        <xdr:sp macro="" textlink="">
          <xdr:nvSpPr>
            <xdr:cNvPr id="1054" name="cmdGraficoIndividual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742950</xdr:colOff>
          <xdr:row>5</xdr:row>
          <xdr:rowOff>38100</xdr:rowOff>
        </xdr:from>
        <xdr:to>
          <xdr:col>0</xdr:col>
          <xdr:colOff>1647825</xdr:colOff>
          <xdr:row>7</xdr:row>
          <xdr:rowOff>180975</xdr:rowOff>
        </xdr:to>
        <xdr:sp macro="" textlink="">
          <xdr:nvSpPr>
            <xdr:cNvPr id="1055" name="cmdGestionBuffers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1647825</xdr:colOff>
          <xdr:row>5</xdr:row>
          <xdr:rowOff>38100</xdr:rowOff>
        </xdr:from>
        <xdr:to>
          <xdr:col>1</xdr:col>
          <xdr:colOff>742950</xdr:colOff>
          <xdr:row>7</xdr:row>
          <xdr:rowOff>180975</xdr:rowOff>
        </xdr:to>
        <xdr:sp macro="" textlink="">
          <xdr:nvSpPr>
            <xdr:cNvPr id="1056" name="cmdTransferencia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4</xdr:row>
          <xdr:rowOff>28575</xdr:rowOff>
        </xdr:from>
        <xdr:to>
          <xdr:col>5</xdr:col>
          <xdr:colOff>733425</xdr:colOff>
          <xdr:row>4</xdr:row>
          <xdr:rowOff>285750</xdr:rowOff>
        </xdr:to>
        <xdr:sp macro="" textlink="">
          <xdr:nvSpPr>
            <xdr:cNvPr id="1057" name="cmdMantenimiento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485775</xdr:colOff>
          <xdr:row>4</xdr:row>
          <xdr:rowOff>28575</xdr:rowOff>
        </xdr:from>
        <xdr:to>
          <xdr:col>4</xdr:col>
          <xdr:colOff>19050</xdr:colOff>
          <xdr:row>4</xdr:row>
          <xdr:rowOff>285750</xdr:rowOff>
        </xdr:to>
        <xdr:sp macro="" textlink="">
          <xdr:nvSpPr>
            <xdr:cNvPr id="1059" name="cmd_Actualiza_bd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4</xdr:row>
          <xdr:rowOff>28575</xdr:rowOff>
        </xdr:from>
        <xdr:to>
          <xdr:col>4</xdr:col>
          <xdr:colOff>400050</xdr:colOff>
          <xdr:row>4</xdr:row>
          <xdr:rowOff>285750</xdr:rowOff>
        </xdr:to>
        <xdr:sp macro="" textlink="">
          <xdr:nvSpPr>
            <xdr:cNvPr id="1060" name="cmd_refresca_item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600075</xdr:colOff>
          <xdr:row>10</xdr:row>
          <xdr:rowOff>9525</xdr:rowOff>
        </xdr:from>
        <xdr:to>
          <xdr:col>4</xdr:col>
          <xdr:colOff>895350</xdr:colOff>
          <xdr:row>10</xdr:row>
          <xdr:rowOff>180975</xdr:rowOff>
        </xdr:to>
        <xdr:sp macro="" textlink="">
          <xdr:nvSpPr>
            <xdr:cNvPr id="1061" name="Refrescar_Alerta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266700</xdr:colOff>
          <xdr:row>10</xdr:row>
          <xdr:rowOff>9525</xdr:rowOff>
        </xdr:from>
        <xdr:to>
          <xdr:col>4</xdr:col>
          <xdr:colOff>609600</xdr:colOff>
          <xdr:row>10</xdr:row>
          <xdr:rowOff>180975</xdr:rowOff>
        </xdr:to>
        <xdr:sp macro="" textlink="">
          <xdr:nvSpPr>
            <xdr:cNvPr id="1062" name="cmd_Alertas_Actual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15</xdr:row>
          <xdr:rowOff>95250</xdr:rowOff>
        </xdr:from>
        <xdr:to>
          <xdr:col>5</xdr:col>
          <xdr:colOff>723900</xdr:colOff>
          <xdr:row>35</xdr:row>
          <xdr:rowOff>95250</xdr:rowOff>
        </xdr:to>
        <xdr:sp macro="" textlink="">
          <xdr:nvSpPr>
            <xdr:cNvPr id="1064" name="lstArchivos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38100</xdr:rowOff>
        </xdr:from>
        <xdr:to>
          <xdr:col>0</xdr:col>
          <xdr:colOff>609600</xdr:colOff>
          <xdr:row>3</xdr:row>
          <xdr:rowOff>28575</xdr:rowOff>
        </xdr:to>
        <xdr:sp macro="" textlink="">
          <xdr:nvSpPr>
            <xdr:cNvPr id="1066" name="cmdCambiaUsuario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1333500</xdr:colOff>
          <xdr:row>4</xdr:row>
          <xdr:rowOff>28575</xdr:rowOff>
        </xdr:from>
        <xdr:to>
          <xdr:col>1</xdr:col>
          <xdr:colOff>828675</xdr:colOff>
          <xdr:row>4</xdr:row>
          <xdr:rowOff>295275</xdr:rowOff>
        </xdr:to>
        <xdr:sp macro="" textlink="">
          <xdr:nvSpPr>
            <xdr:cNvPr id="1026" name="cmdRefresc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166686</xdr:rowOff>
        </xdr:from>
        <xdr:to>
          <xdr:col>1</xdr:col>
          <xdr:colOff>35718</xdr:colOff>
          <xdr:row>4</xdr:row>
          <xdr:rowOff>23811</xdr:rowOff>
        </xdr:to>
        <xdr:pic macro="[0]!Guarda_Controles_Varias_Hojas">
          <xdr:nvPicPr>
            <xdr:cNvPr id="2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18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547686"/>
              <a:ext cx="1893093" cy="25003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981075</xdr:colOff>
          <xdr:row>4</xdr:row>
          <xdr:rowOff>19050</xdr:rowOff>
        </xdr:from>
        <xdr:to>
          <xdr:col>2</xdr:col>
          <xdr:colOff>542925</xdr:colOff>
          <xdr:row>4</xdr:row>
          <xdr:rowOff>276225</xdr:rowOff>
        </xdr:to>
        <xdr:sp macro="" textlink="">
          <xdr:nvSpPr>
            <xdr:cNvPr id="1517" name="cmdTraeFechasRefrescado" hidden="1">
              <a:extLst>
                <a:ext uri="{63B3BB69-23CF-44E3-9099-C40C66FF867C}">
                  <a14:compatExt spid="_x0000_s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276225</xdr:rowOff>
        </xdr:to>
        <xdr:sp macro="" textlink="">
          <xdr:nvSpPr>
            <xdr:cNvPr id="27649" name="cmdVolver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0</xdr:row>
          <xdr:rowOff>38100</xdr:rowOff>
        </xdr:from>
        <xdr:to>
          <xdr:col>7</xdr:col>
          <xdr:colOff>190500</xdr:colOff>
          <xdr:row>20</xdr:row>
          <xdr:rowOff>171450</xdr:rowOff>
        </xdr:to>
        <xdr:sp macro="" textlink="">
          <xdr:nvSpPr>
            <xdr:cNvPr id="5121" name="cmdGuarda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21</xdr:row>
          <xdr:rowOff>57150</xdr:rowOff>
        </xdr:from>
        <xdr:to>
          <xdr:col>7</xdr:col>
          <xdr:colOff>190500</xdr:colOff>
          <xdr:row>23</xdr:row>
          <xdr:rowOff>0</xdr:rowOff>
        </xdr:to>
        <xdr:sp macro="" textlink="">
          <xdr:nvSpPr>
            <xdr:cNvPr id="5122" name="cmdCancela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0</xdr:row>
          <xdr:rowOff>57150</xdr:rowOff>
        </xdr:from>
        <xdr:to>
          <xdr:col>4</xdr:col>
          <xdr:colOff>104775</xdr:colOff>
          <xdr:row>1</xdr:row>
          <xdr:rowOff>66675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28575</xdr:rowOff>
        </xdr:from>
        <xdr:to>
          <xdr:col>3</xdr:col>
          <xdr:colOff>1066800</xdr:colOff>
          <xdr:row>1</xdr:row>
          <xdr:rowOff>0</xdr:rowOff>
        </xdr:to>
        <xdr:sp macro="" textlink="">
          <xdr:nvSpPr>
            <xdr:cNvPr id="3073" name="cmdVolver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95250</xdr:rowOff>
        </xdr:from>
        <xdr:to>
          <xdr:col>2</xdr:col>
          <xdr:colOff>9525</xdr:colOff>
          <xdr:row>3</xdr:row>
          <xdr:rowOff>114300</xdr:rowOff>
        </xdr:to>
        <xdr:sp macro="" textlink="">
          <xdr:nvSpPr>
            <xdr:cNvPr id="4097" name="cmdCarg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4</xdr:row>
          <xdr:rowOff>19050</xdr:rowOff>
        </xdr:from>
        <xdr:to>
          <xdr:col>2</xdr:col>
          <xdr:colOff>19050</xdr:colOff>
          <xdr:row>6</xdr:row>
          <xdr:rowOff>38100</xdr:rowOff>
        </xdr:to>
        <xdr:sp macro="" textlink="">
          <xdr:nvSpPr>
            <xdr:cNvPr id="4098" name="cmdCancel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161925</xdr:rowOff>
        </xdr:from>
        <xdr:to>
          <xdr:col>5</xdr:col>
          <xdr:colOff>142875</xdr:colOff>
          <xdr:row>8</xdr:row>
          <xdr:rowOff>180975</xdr:rowOff>
        </xdr:to>
        <xdr:sp macro="" textlink="">
          <xdr:nvSpPr>
            <xdr:cNvPr id="10241" name="cmdBorrarTransferDadaBaj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9</xdr:row>
          <xdr:rowOff>142875</xdr:rowOff>
        </xdr:from>
        <xdr:to>
          <xdr:col>5</xdr:col>
          <xdr:colOff>133350</xdr:colOff>
          <xdr:row>12</xdr:row>
          <xdr:rowOff>85725</xdr:rowOff>
        </xdr:to>
        <xdr:sp macro="" textlink="">
          <xdr:nvSpPr>
            <xdr:cNvPr id="10242" name="cmdNoBorrar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914400</xdr:colOff>
          <xdr:row>0</xdr:row>
          <xdr:rowOff>285750</xdr:rowOff>
        </xdr:to>
        <xdr:sp macro="" textlink="">
          <xdr:nvSpPr>
            <xdr:cNvPr id="12289" name="cmdVolver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AM%20CAS\MEJORA%20CONTINUA\CONTROL%20DE%20BUFFERS\TRANSFERENCIAS\TEMPORALES\281%20_%2024-3-2011%20-%20IMP-JF-%20AGROTACENTRAL%20-%20INCOMAGRI2%20Y%20JF21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FERENCIA"/>
      <sheetName val="PATH"/>
      <sheetName val="DATOS"/>
      <sheetName val="REPETIDO"/>
      <sheetName val="CUBICAJE"/>
    </sheetNames>
    <sheetDataSet>
      <sheetData sheetId="0">
        <row r="1">
          <cell r="A1" t="str">
            <v>TRANSFERENCIAS DE INVENTARIO ENTRE BODEGAS</v>
          </cell>
        </row>
        <row r="2">
          <cell r="A2" t="str">
            <v>TRANSF #</v>
          </cell>
        </row>
        <row r="3">
          <cell r="A3" t="str">
            <v>ORIGEN</v>
          </cell>
        </row>
        <row r="4">
          <cell r="A4" t="str">
            <v>DESTINO</v>
          </cell>
        </row>
        <row r="5">
          <cell r="A5" t="str">
            <v>REFERENCIA</v>
          </cell>
        </row>
        <row r="6">
          <cell r="A6" t="str">
            <v>FECHA ARRIBO</v>
          </cell>
        </row>
        <row r="8">
          <cell r="A8" t="str">
            <v>Codigo</v>
          </cell>
          <cell r="B8" t="str">
            <v>Descripcion</v>
          </cell>
          <cell r="C8" t="str">
            <v>Grupo</v>
          </cell>
          <cell r="D8" t="str">
            <v>Linea</v>
          </cell>
          <cell r="E8" t="str">
            <v>Ped Prom</v>
          </cell>
          <cell r="F8" t="str">
            <v>CTV</v>
          </cell>
          <cell r="G8" t="str">
            <v>PVP</v>
          </cell>
          <cell r="H8" t="str">
            <v>BUFFER</v>
          </cell>
          <cell r="I8" t="str">
            <v>CONS BUFF</v>
          </cell>
          <cell r="J8" t="str">
            <v>RENTABILIDAD</v>
          </cell>
          <cell r="K8" t="str">
            <v>VEL EFECT</v>
          </cell>
          <cell r="L8" t="str">
            <v>SERVICIO</v>
          </cell>
          <cell r="M8" t="str">
            <v>REQUERIM</v>
          </cell>
          <cell r="N8" t="str">
            <v>REQ TOTAL</v>
          </cell>
          <cell r="O8" t="str">
            <v>DESPACHO</v>
          </cell>
          <cell r="P8" t="str">
            <v>RECIBIDO</v>
          </cell>
          <cell r="Q8" t="str">
            <v>TRANSITO</v>
          </cell>
          <cell r="R8" t="str">
            <v>OBSERVACIONES DESPACHOS</v>
          </cell>
          <cell r="S8" t="str">
            <v>OBSERVACIONES RECEPCIONES</v>
          </cell>
          <cell r="T8" t="str">
            <v>TIPO TRANSF</v>
          </cell>
        </row>
        <row r="9">
          <cell r="A9" t="str">
            <v>INCO-9019610</v>
          </cell>
        </row>
        <row r="10">
          <cell r="A10" t="str">
            <v>INCO-9051910</v>
          </cell>
        </row>
        <row r="11">
          <cell r="A11" t="str">
            <v>INCO-9031910</v>
          </cell>
        </row>
        <row r="12">
          <cell r="A12" t="str">
            <v>INCO-9511900</v>
          </cell>
        </row>
        <row r="13">
          <cell r="A13" t="str">
            <v>INCO-9661970</v>
          </cell>
        </row>
        <row r="14">
          <cell r="A14" t="str">
            <v>INCO-9661990</v>
          </cell>
        </row>
        <row r="15">
          <cell r="A15" t="str">
            <v>JF-002</v>
          </cell>
        </row>
        <row r="16">
          <cell r="A16" t="str">
            <v>JF-033</v>
          </cell>
        </row>
        <row r="17">
          <cell r="A17" t="str">
            <v>JF-040</v>
          </cell>
        </row>
        <row r="18">
          <cell r="A18" t="str">
            <v>JF-003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queryTables/queryTable1.xml><?xml version="1.0" encoding="utf-8"?>
<queryTable xmlns="http://schemas.openxmlformats.org/spreadsheetml/2006/main" name="Consulta desde ODBC RAM CAS" backgroundRefresh="0" connectionId="6" autoFormatId="16" applyNumberFormats="0" applyBorderFormats="0" applyFontFormats="0" applyPatternFormats="0" applyAlignmentFormats="0" applyWidthHeightFormats="0">
  <queryTableRefresh nextId="2">
    <queryTableFields count="1">
      <queryTableField id="1" name="NombreEmpresa" tableColumnId="1"/>
    </queryTableFields>
  </queryTableRefresh>
</queryTable>
</file>

<file path=xl/queryTables/queryTable2.xml><?xml version="1.0" encoding="utf-8"?>
<queryTable xmlns="http://schemas.openxmlformats.org/spreadsheetml/2006/main" name="Consulta desde DatosConsolidados" backgroundRefresh="0" connectionId="3" autoFormatId="16" applyNumberFormats="0" applyBorderFormats="0" applyFontFormats="0" applyPatternFormats="0" applyAlignmentFormats="0" applyWidthHeightFormats="0">
  <queryTableRefresh nextId="7">
    <queryTableFields count="2">
      <queryTableField id="2" name="Codigo" tableColumnId="2"/>
      <queryTableField id="6" name="Bodega" tableColumnId="6"/>
    </queryTableFields>
  </queryTableRefresh>
</queryTable>
</file>

<file path=xl/queryTables/queryTable3.xml><?xml version="1.0" encoding="utf-8"?>
<queryTable xmlns="http://schemas.openxmlformats.org/spreadsheetml/2006/main" name="Consulta desde DatosConsolidados_1" backgroundRefresh="0" connectionId="4" autoFormatId="16" applyNumberFormats="0" applyBorderFormats="0" applyFontFormats="0" applyPatternFormats="0" applyAlignmentFormats="0" applyWidthHeightFormats="0">
  <queryTableRefresh nextId="8">
    <queryTableFields count="1">
      <queryTableField id="2" name="Codigo" tableColumnId="2"/>
    </queryTableFields>
  </queryTableRefresh>
</queryTable>
</file>

<file path=xl/queryTables/queryTable4.xml><?xml version="1.0" encoding="utf-8"?>
<queryTable xmlns="http://schemas.openxmlformats.org/spreadsheetml/2006/main" name="Consulta desde DatosConsolidados" connectionId="5" autoFormatId="16" applyNumberFormats="0" applyBorderFormats="0" applyFontFormats="0" applyPatternFormats="0" applyAlignmentFormats="0" applyWidthHeightFormats="0">
  <queryTableRefresh nextId="9" unboundColumnsRight="1">
    <queryTableFields count="5">
      <queryTableField id="4" name="Empresa" tableColumnId="4"/>
      <queryTableField id="1" name="Bodega" tableColumnId="1"/>
      <queryTableField id="2" name="Codigo" tableColumnId="2"/>
      <queryTableField id="3" name="Archivo" tableColumnId="3"/>
      <queryTableField id="6" dataBound="0" tableColumnId="5"/>
    </queryTableFields>
  </queryTableRefresh>
</queryTable>
</file>

<file path=xl/queryTables/queryTable5.xml><?xml version="1.0" encoding="utf-8"?>
<queryTable xmlns="http://schemas.openxmlformats.org/spreadsheetml/2006/main" name="Consulta desde Central Control Buffers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BODEGA" tableColumnId="1"/>
      <queryTableField id="2" name="ARCHIVO" tableColumnId="2"/>
      <queryTableField id="3" name="PATH" tableColumnId="3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connectionId="7" autoFormatId="16" applyNumberFormats="0" applyBorderFormats="0" applyFontFormats="0" applyPatternFormats="0" applyAlignmentFormats="0" applyWidthHeightFormats="0">
  <queryTableRefresh nextId="8" unboundColumnsRight="1">
    <queryTableFields count="4">
      <queryTableField id="2" name="BODEGA" tableColumnId="2"/>
      <queryTableField id="3" name="ARCHIVO" tableColumnId="3"/>
      <queryTableField id="7" name="PATH" tableColumnId="7"/>
      <queryTableField id="5" dataBound="0" tableColumnId="5"/>
    </queryTableFields>
  </queryTableRefresh>
</queryTable>
</file>

<file path=xl/queryTables/queryTable7.xml><?xml version="1.0" encoding="utf-8"?>
<queryTable xmlns="http://schemas.openxmlformats.org/spreadsheetml/2006/main" name="Consulta desde ODBC RAMCAS1" backgroundRefresh="0" connectionId="8" autoFormatId="16" applyNumberFormats="0" applyBorderFormats="0" applyFontFormats="0" applyPatternFormats="0" applyAlignmentFormats="0" applyWidthHeightFormats="0">
  <queryTableRefresh nextId="5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8" name="tbl_Fechas_Refrescado" displayName="tbl_Fechas_Refrescado" ref="B1:N4" totalsRowCount="1" headerRowDxfId="71">
  <autoFilter ref="B1:N3"/>
  <sortState ref="B2:N3">
    <sortCondition descending="1" ref="F1:F3"/>
  </sortState>
  <tableColumns count="13">
    <tableColumn id="1" name="EMPRESA" totalsRowLabel="Total"/>
    <tableColumn id="2" name="HOJA CB" totalsRowFunction="count" totalsRowDxfId="70"/>
    <tableColumn id="3" name="REFRESCADO" dataDxfId="69" totalsRowDxfId="68"/>
    <tableColumn id="4" name="INICIO" totalsRowFunction="min" dataDxfId="67" totalsRowDxfId="66"/>
    <tableColumn id="7" name="FIN" totalsRowFunction="max" dataDxfId="65" totalsRowDxfId="64"/>
    <tableColumn id="5" name="DURACIÓN" totalsRowFunction="sum" dataDxfId="63" totalsRowDxfId="62">
      <calculatedColumnFormula>tbl_Fechas_Refrescado[[#This Row],[FIN]]-tbl_Fechas_Refrescado[[#This Row],[INICIO]]</calculatedColumnFormula>
    </tableColumn>
    <tableColumn id="6" name="DIAS PERIODO" totalsRowFunction="max" dataDxfId="61" totalsRowDxfId="60"/>
    <tableColumn id="13" name="DUPLICADOS" totalsRowFunction="sum" dataDxfId="59" totalsRowDxfId="58"/>
    <tableColumn id="8" name="SKUs Totales" totalsRowFunction="sum" dataDxfId="57" totalsRowDxfId="56"/>
    <tableColumn id="9" name="SKUs Buffer" totalsRowFunction="sum" dataDxfId="55" totalsRowDxfId="54"/>
    <tableColumn id="10" name="COSTO BUFFER" totalsRowFunction="sum" dataDxfId="53" totalsRowDxfId="52"/>
    <tableColumn id="11" name="COSTO FISICO" totalsRowFunction="sum" dataDxfId="51" totalsRowDxfId="50"/>
    <tableColumn id="12" name="COSTO TRANSITO" totalsRowFunction="sum" dataDxfId="49" totalsRowDxfId="48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13" name="Tabla_EMPRESA" displayName="Tabla_EMPRESA" ref="A1:A3" tableType="queryTable" totalsRowShown="0">
  <autoFilter ref="A1:A3"/>
  <tableColumns count="1">
    <tableColumn id="1" uniqueName="1" name="NombreEmpresa" queryTableFieldId="1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1" name="Tabla_EmpresaBodega" displayName="Tabla_EmpresaBodega" ref="A1:B2" insertRow="1" totalsRowShown="0">
  <autoFilter ref="A1:B2"/>
  <tableColumns count="2">
    <tableColumn id="1" name="EMPRESA"/>
    <tableColumn id="2" name="BODEGA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1" name="ARCHIVOSCB" displayName="ARCHIVOSCB" ref="A1:F20" totalsRowShown="0">
  <autoFilter ref="A1:F20">
    <filterColumn colId="1">
      <filters>
        <filter val="HYDRABELT"/>
      </filters>
    </filterColumn>
  </autoFilter>
  <tableColumns count="6">
    <tableColumn id="1" name="CODIGO" dataDxfId="47"/>
    <tableColumn id="5" name="EMPRESA"/>
    <tableColumn id="2" name="DIRECTORIO"/>
    <tableColumn id="3" name="ARCHIVO"/>
    <tableColumn id="4" name="PATH" dataDxfId="46">
      <calculatedColumnFormula>ARCHIVOSCB[[#This Row],[DIRECTORIO]]&amp;"\"&amp;ARCHIVOSCB[[#This Row],[ARCHIVO]]</calculatedColumnFormula>
    </tableColumn>
    <tableColumn id="11" name="TabARCHIVO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0" name="Tabla_ArchivosBodegas" displayName="Tabla_ArchivosBodegas" ref="A1:J2" insertRow="1" totalsRowShown="0">
  <autoFilter ref="A1:J2"/>
  <sortState ref="A2:J21">
    <sortCondition ref="B2:B21"/>
    <sortCondition ref="D2:D21"/>
  </sortState>
  <tableColumns count="10">
    <tableColumn id="1" name="CODIGO" dataDxfId="45"/>
    <tableColumn id="5" name="EMPRESA"/>
    <tableColumn id="6" name="BODEGA"/>
    <tableColumn id="4" name="PATH" dataDxfId="44"/>
    <tableColumn id="2" name="ARCHIVO" dataDxfId="43">
      <calculatedColumnFormula array="1">RIGHT(Tabla_ArchivosBodegas[[#This Row],[PATH]],LEN(Tabla_ArchivosBodegas[[#This Row],[PATH]])-MAX(IFERROR(SEARCH("\",Tabla_ArchivosBodegas[[#This Row],[PATH]],ROW(INDIRECT("a1:a"&amp;LEN(Tabla_ArchivosBodegas[[#This Row],[PATH]])))),0)))</calculatedColumnFormula>
    </tableColumn>
    <tableColumn id="7" name="FREC REP"/>
    <tableColumn id="8" name="TIEMP SUMINIS"/>
    <tableColumn id="10" name="HORIZONTE"/>
    <tableColumn id="9" name="T NIV SER (DIAS)"/>
    <tableColumn id="3" name="PERFIL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2" name="Tabla_Perfiles" displayName="Tabla_Perfiles" ref="B1:F2" insertRow="1" totalsRowShown="0" headerRowDxfId="42" dataDxfId="41">
  <autoFilter ref="B1:F2"/>
  <tableColumns count="5">
    <tableColumn id="5" name="PERFIL" dataDxfId="40"/>
    <tableColumn id="1" name="FREC REP" dataDxfId="39"/>
    <tableColumn id="2" name="TIEMP SUMINIS" dataDxfId="38"/>
    <tableColumn id="3" name="HORIZONTE" dataDxfId="37"/>
    <tableColumn id="4" name="T NIV SER (DIAS)" dataDxfId="3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9" name="Tabla_Proveedores" displayName="Tabla_Proveedores" ref="A1:D47" totalsRowShown="0">
  <autoFilter ref="A1:D47"/>
  <tableColumns count="4">
    <tableColumn id="4" name="Empresa"/>
    <tableColumn id="2" name="Bodega"/>
    <tableColumn id="3" name="Proveedor"/>
    <tableColumn id="1" name="Prioridad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" name="Tabla_DIAS_RESTANTES" displayName="Tabla_DIAS_RESTANTES" ref="A2:C6" totalsRowShown="0">
  <autoFilter ref="A2:C6"/>
  <sortState ref="A3:C6">
    <sortCondition ref="C2"/>
  </sortState>
  <tableColumns count="3">
    <tableColumn id="4" name="ARCHIVO"/>
    <tableColumn id="2" name="FIN PERÍODO" dataDxfId="35"/>
    <tableColumn id="3" name="RESTAN" dataDxfId="34">
      <calculatedColumnFormula>Tabla_DIAS_RESTANTES[[#This Row],[FIN PERÍODO]]-TODAY()</calculatedColumnFormula>
    </tableColumn>
  </tableColumns>
  <tableStyleInfo name="TableStyleMedium17" showFirstColumn="0" showLastColumn="0" showRowStripes="1" showColumnStripes="0"/>
</table>
</file>

<file path=xl/tables/table9.xml><?xml version="1.0" encoding="utf-8"?>
<table xmlns="http://schemas.openxmlformats.org/spreadsheetml/2006/main" id="5" name="Tabla_NUMERO_ITEMS" displayName="Tabla_NUMERO_ITEMS" ref="A2:D7" totalsRowCount="1" headerRowDxfId="33">
  <autoFilter ref="A2:D6"/>
  <tableColumns count="4">
    <tableColumn id="2" name="HOJA CB" totalsRowLabel="TOTALES" totalsRowDxfId="32"/>
    <tableColumn id="3" name="TODOS ITEMS" totalsRowFunction="sum" dataDxfId="31" totalsRowDxfId="30"/>
    <tableColumn id="4" name="ITEMS CON BUFFER" totalsRowFunction="sum" dataDxfId="29" totalsRowDxfId="28"/>
    <tableColumn id="1" name="% ITEMS CON BUFFER" totalsRowFunction="average" dataDxfId="27" totalsRowDxfId="26">
      <calculatedColumnFormula>Tabla_NUMERO_ITEMS[[#This Row],[ITEMS CON BUFFER]]/Tabla_NUMERO_ITEMS[[#This Row],[TODOS ITEMS]]</calculatedColumnFormula>
    </tableColumn>
  </tableColumns>
  <tableStyleInfo name="TableStyleDark6" showFirstColumn="0" showLastColumn="0" showRowStripes="1" showColumnStripes="0"/>
</table>
</file>

<file path=xl/tables/table10.xml><?xml version="1.0" encoding="utf-8"?>
<table xmlns="http://schemas.openxmlformats.org/spreadsheetml/2006/main" id="4" name="Tabla_Items_Por_Bodega" displayName="Tabla_Items_Por_Bodega" ref="A1:B2" tableType="queryTable" totalsRowShown="0">
  <autoFilter ref="A1:B2"/>
  <tableColumns count="2">
    <tableColumn id="2" uniqueName="2" name="Codigo" queryTableFieldId="2"/>
    <tableColumn id="6" uniqueName="6" name="Bodega" queryTableFieldId="6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" name="Tabla_Items_Unicos" displayName="Tabla_Items_Unicos" ref="D1:D2" tableType="queryTable" totalsRowShown="0">
  <autoFilter ref="D1:D2"/>
  <tableColumns count="1">
    <tableColumn id="2" uniqueName="2" name="Codigo" queryTableFieldId="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7" name="Tabla_Datos_Codigo" displayName="Tabla_Datos_Codigo" ref="A1:E2" tableType="queryTable" totalsRowShown="0">
  <autoFilter ref="A1:E2"/>
  <tableColumns count="5">
    <tableColumn id="4" uniqueName="4" name="Empresa" queryTableFieldId="4"/>
    <tableColumn id="1" uniqueName="1" name="Bodega" queryTableFieldId="1"/>
    <tableColumn id="2" uniqueName="2" name="Codigo" queryTableFieldId="2"/>
    <tableColumn id="3" uniqueName="3" name="Archivo" queryTableFieldId="3"/>
    <tableColumn id="5" uniqueName="5" name="Bodega Recortada" queryTableFieldId="6" dataDxfId="2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8" name="Tabla_Path_Codigo" displayName="Tabla_Path_Codigo" ref="G1:I2" tableType="queryTable" insertRow="1" totalsRowShown="0">
  <autoFilter ref="G1:I2"/>
  <tableColumns count="3">
    <tableColumn id="1" uniqueName="1" name="BODEGA" queryTableFieldId="1"/>
    <tableColumn id="2" uniqueName="2" name="ARCHIVO" queryTableFieldId="2"/>
    <tableColumn id="3" uniqueName="3" name="PATH" queryTableFieldId="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abla_Path_Codigo_Nueva" displayName="Tabla_Path_Codigo_Nueva" ref="K1:N2" tableType="queryTable" insertRow="1" totalsRowShown="0">
  <autoFilter ref="K1:N2"/>
  <tableColumns count="4">
    <tableColumn id="2" uniqueName="2" name="BODEGA" queryTableFieldId="2"/>
    <tableColumn id="3" uniqueName="3" name="ARCHIVO" queryTableFieldId="3" dataDxfId="24"/>
    <tableColumn id="7" uniqueName="7" name="PATH" queryTableFieldId="7" dataDxfId="23"/>
    <tableColumn id="5" uniqueName="5" name="COMPLETO" queryTableFieldId="5" dataDxfId="22">
      <calculatedColumnFormula>Tabla_Path_Codigo_Nueva[PATH]&amp;"\"&amp;Tabla_Path_Codigo_Nueva[ARCHIVO]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" name="tblItemsSeleccionados" displayName="tblItemsSeleccionados" ref="A1:D2" insertRow="1" totalsRowShown="0">
  <autoFilter ref="A1:D2"/>
  <tableColumns count="4">
    <tableColumn id="2" name="Codigo"/>
    <tableColumn id="3" name="Descripcion"/>
    <tableColumn id="4" name="Grupo"/>
    <tableColumn id="5" name="Linea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15" name="Tabla_Parametros" displayName="Tabla_Parametros" ref="A1:C6" tableType="queryTable" totalsRowShown="0">
  <autoFilter ref="A1:C6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0" name="Alerta" displayName="Alerta" ref="A1:B3" totalsRowShown="0">
  <autoFilter ref="A1:B3"/>
  <tableColumns count="2">
    <tableColumn id="1" name="Accesorios.xlsm"/>
    <tableColumn id="2" name="Maquinas ECHO - SHINDAIWA.xlsm"/>
  </tableColumns>
  <tableStyleInfo name="TableStyleDark11" showFirstColumn="0" showLastColumn="0" showRowStripes="1" showColumnStripes="0"/>
</table>
</file>

<file path=xl/tables/table18.xml><?xml version="1.0" encoding="utf-8"?>
<table xmlns="http://schemas.openxmlformats.org/spreadsheetml/2006/main" id="17" name="HojasCB" displayName="HojasCB" ref="A1:C3" totalsRowShown="0">
  <autoFilter ref="A1:C3"/>
  <tableColumns count="3">
    <tableColumn id="1" name="EMPRESA"/>
    <tableColumn id="2" name="ARCHIVO"/>
    <tableColumn id="3" name="PATH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5" Type="http://schemas.openxmlformats.org/officeDocument/2006/relationships/image" Target="../media/image28.emf"/><Relationship Id="rId4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8.xml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9.xml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7.xml"/><Relationship Id="rId5" Type="http://schemas.openxmlformats.org/officeDocument/2006/relationships/image" Target="../media/image36.emf"/><Relationship Id="rId4" Type="http://schemas.openxmlformats.org/officeDocument/2006/relationships/control" Target="../activeX/activeX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</sheetPr>
  <dimension ref="A1:P1048576"/>
  <sheetViews>
    <sheetView showGridLines="0" tabSelected="1" zoomScale="80" zoomScaleNormal="80" workbookViewId="0">
      <selection activeCell="D10" sqref="D10"/>
    </sheetView>
  </sheetViews>
  <sheetFormatPr baseColWidth="10" defaultColWidth="11.42578125" defaultRowHeight="15" x14ac:dyDescent="0.25"/>
  <cols>
    <col min="1" max="1" width="27.85546875" customWidth="1"/>
    <col min="2" max="2" width="16.85546875" customWidth="1"/>
    <col min="5" max="5" width="13.5703125" customWidth="1"/>
    <col min="7" max="7" width="13.85546875" bestFit="1" customWidth="1"/>
    <col min="8" max="8" width="4.85546875" customWidth="1"/>
    <col min="9" max="9" width="13.42578125" customWidth="1"/>
    <col min="12" max="12" width="14.42578125" customWidth="1"/>
    <col min="13" max="13" width="8.42578125" customWidth="1"/>
    <col min="14" max="14" width="17" customWidth="1"/>
    <col min="16" max="16" width="22.42578125" customWidth="1"/>
  </cols>
  <sheetData>
    <row r="1" spans="1:15" x14ac:dyDescent="0.25">
      <c r="B1" s="4"/>
      <c r="C1" s="4"/>
      <c r="D1" s="4"/>
      <c r="E1" s="4"/>
      <c r="F1" s="4"/>
      <c r="G1" s="4"/>
      <c r="H1" s="4"/>
      <c r="I1" s="5"/>
    </row>
    <row r="2" spans="1:15" x14ac:dyDescent="0.25">
      <c r="A2" s="6"/>
      <c r="B2" s="1"/>
      <c r="C2" s="1"/>
      <c r="D2" s="1"/>
      <c r="E2" s="1"/>
      <c r="F2" s="1"/>
      <c r="G2" s="1"/>
      <c r="H2" s="1"/>
      <c r="I2" s="7"/>
    </row>
    <row r="3" spans="1:15" x14ac:dyDescent="0.25">
      <c r="A3" s="6"/>
      <c r="B3" s="1"/>
      <c r="C3" s="1"/>
      <c r="D3" s="1"/>
      <c r="E3" s="1"/>
      <c r="F3" s="1"/>
      <c r="G3" s="1"/>
      <c r="H3" s="1"/>
      <c r="I3" s="7"/>
    </row>
    <row r="4" spans="1:15" ht="15.75" thickBot="1" x14ac:dyDescent="0.3">
      <c r="B4" s="17"/>
      <c r="C4" s="17"/>
      <c r="D4" s="17"/>
      <c r="E4" s="17"/>
      <c r="F4" s="17"/>
      <c r="G4" s="17"/>
      <c r="H4" s="17"/>
      <c r="I4" s="18"/>
      <c r="O4" s="48"/>
    </row>
    <row r="5" spans="1:15" ht="24" thickBot="1" x14ac:dyDescent="0.4">
      <c r="A5" s="23"/>
      <c r="B5" s="24"/>
      <c r="C5" s="24"/>
      <c r="D5" s="24"/>
      <c r="E5" s="24"/>
      <c r="F5" s="25"/>
      <c r="G5" s="56" t="s">
        <v>60</v>
      </c>
      <c r="H5" s="57"/>
      <c r="I5" s="58" t="s">
        <v>149</v>
      </c>
    </row>
    <row r="6" spans="1:15" ht="18" thickBot="1" x14ac:dyDescent="0.35">
      <c r="A6" s="26"/>
      <c r="B6" s="27"/>
      <c r="C6" s="27"/>
      <c r="D6" s="27"/>
      <c r="E6" s="27"/>
      <c r="F6" s="28"/>
      <c r="G6" s="44" t="s">
        <v>61</v>
      </c>
      <c r="H6" s="45"/>
      <c r="I6" s="53">
        <v>42423</v>
      </c>
    </row>
    <row r="7" spans="1:15" ht="15.75" thickBot="1" x14ac:dyDescent="0.3">
      <c r="A7" s="29"/>
      <c r="B7" s="30"/>
      <c r="C7" s="30"/>
      <c r="D7" s="30"/>
      <c r="E7" s="30"/>
      <c r="F7" s="30"/>
      <c r="G7" s="44" t="s">
        <v>67</v>
      </c>
      <c r="H7" s="45"/>
      <c r="I7" s="46">
        <f>DURACIONREFRESCADO</f>
        <v>2.9629629570990801E-3</v>
      </c>
    </row>
    <row r="8" spans="1:15" ht="15.75" thickBot="1" x14ac:dyDescent="0.3">
      <c r="A8" s="29"/>
      <c r="B8" s="30"/>
      <c r="C8" s="31"/>
      <c r="D8" s="31"/>
      <c r="E8" s="32"/>
      <c r="F8" s="31"/>
      <c r="G8" s="6" t="s">
        <v>62</v>
      </c>
      <c r="H8" s="7"/>
      <c r="I8" s="42">
        <v>42354</v>
      </c>
    </row>
    <row r="9" spans="1:15" ht="15" customHeight="1" x14ac:dyDescent="0.25">
      <c r="A9" s="61" t="s">
        <v>93</v>
      </c>
      <c r="B9" s="59"/>
      <c r="C9" s="34"/>
      <c r="D9" s="49" t="str">
        <f ca="1">HYPERLINK("["&amp;LEFT(CELL("filename",A1),FIND("[",CELL("filename",A1))-2)&amp;"\CONTROL DE BUFFERS\ARCHIVO\ARCHIVO.xlsm]","Archivo")</f>
        <v>Archivo</v>
      </c>
      <c r="E9" s="33" t="str">
        <f ca="1">HYPERLINK(LEFT(CELL("filename",A1),FIND("[",CELL("filename",A1))-2)&amp;"\CONTROL DE BUFFERS\ARCHIVO\","dir")</f>
        <v>dir</v>
      </c>
      <c r="F9" s="38"/>
      <c r="G9" s="6" t="s">
        <v>63</v>
      </c>
      <c r="H9" s="7"/>
      <c r="I9" s="42">
        <v>42354</v>
      </c>
    </row>
    <row r="10" spans="1:15" ht="15" customHeight="1" x14ac:dyDescent="0.25">
      <c r="A10" s="64" t="str">
        <f>HYPERLINK("[O:\COMPROMETIDOS Y BACKORDERS\COMPROMETIDOS Y BACKORDERS.xlsm]Comprometidos!a1","Comprometidos")</f>
        <v>Comprometidos</v>
      </c>
      <c r="B10" s="60" t="str">
        <f>HYPERLINK("O:\COMPROMETIDOS Y BACKORDERS\","dir")</f>
        <v>dir</v>
      </c>
      <c r="C10" s="36"/>
      <c r="D10" s="49" t="str">
        <f ca="1">HYPERLINK("["&amp;LEFT(CELL("filename",L3),FIND("[",CELL("filename",L3))-2)&amp;"\CONTROL DE BUFFERS\SIMULADOR\Simulacion RAM CAS.xlsm]","SIMULADOR BUFFERS")</f>
        <v>SIMULADOR BUFFERS</v>
      </c>
      <c r="E10" s="35"/>
      <c r="F10" s="36"/>
      <c r="G10" s="6" t="s">
        <v>64</v>
      </c>
      <c r="H10" s="7"/>
      <c r="I10" s="42">
        <v>42354</v>
      </c>
    </row>
    <row r="11" spans="1:15" ht="15" customHeight="1" x14ac:dyDescent="0.25">
      <c r="A11" s="64" t="str">
        <f>HYPERLINK("[O:\COMPROMETIDOS Y BACKORDERS\COMPROMETIDOS Y BACKORDERS.xlsm]Backorders!a1","Backorders")</f>
        <v>Backorders</v>
      </c>
      <c r="B11" s="60" t="str">
        <f>HYPERLINK("O:\COMPROMETIDOS Y BACKORDERS\","dir")</f>
        <v>dir</v>
      </c>
      <c r="C11" s="36"/>
      <c r="D11" s="50" t="str">
        <f>IFERROR(IF(COUNTA(Alertas!$A$1)&gt;0,"HAY ALERTAS","NO HAY ALERTAS"),"NO HAY ALERTAS")</f>
        <v>HAY ALERTAS</v>
      </c>
      <c r="E11" s="51"/>
      <c r="F11" s="36"/>
      <c r="G11" s="6" t="s">
        <v>73</v>
      </c>
      <c r="H11" s="47"/>
      <c r="I11" s="42" t="s">
        <v>150</v>
      </c>
    </row>
    <row r="12" spans="1:15" ht="15" customHeight="1" thickBot="1" x14ac:dyDescent="0.3">
      <c r="A12" s="66" t="s">
        <v>137</v>
      </c>
      <c r="B12" s="67"/>
      <c r="C12" s="36"/>
      <c r="D12" s="62" t="str">
        <f t="array" aca="1" ref="D12" ca="1">IFERROR(IF(SUM((tbl_Fechas_Refrescado[REFRESCADO]=1)*1*(TODAY()&lt;&gt;(DATE(YEAR(tbl_Fechas_Refrescado[FIN]),MONTH(tbl_Fechas_Refrescado[FIN]),DAY(tbl_Fechas_Refrescado[FIN]))))+(tbl_Fechas_Refrescado[REFRESCADO]=0)*1)&gt;0,"Hay Hojas CB sin refrescar hoy.",IF(SUM(tbl_Fechas_Refrescado[DUPLICADOS])&gt;0,"Hay ítems duplicados entre Hojas CB.","")),"")</f>
        <v>Hay Hojas CB sin refrescar hoy.</v>
      </c>
      <c r="E12" s="36"/>
      <c r="F12" s="36"/>
      <c r="G12" s="16" t="s">
        <v>74</v>
      </c>
      <c r="H12" s="18"/>
      <c r="I12" s="43" t="s">
        <v>150</v>
      </c>
    </row>
    <row r="13" spans="1:15" ht="15" customHeight="1" thickBot="1" x14ac:dyDescent="0.3">
      <c r="A13" s="65" t="str">
        <f ca="1">HYPERLINK("["&amp;LEFT(CELL("filename",A1),FIND("[",CELL("filename",A1))-2)&amp;"\CONTROL DE BUFFERS\REPORTES\Datos_Buffers.xlsx]","Datos Buffers")</f>
        <v>Datos Buffers</v>
      </c>
      <c r="B13" s="36"/>
      <c r="C13" s="36"/>
      <c r="G13" s="44" t="s">
        <v>68</v>
      </c>
      <c r="H13" s="45"/>
      <c r="I13" s="46">
        <v>0.1875</v>
      </c>
    </row>
    <row r="14" spans="1:15" ht="15" customHeight="1" thickBot="1" x14ac:dyDescent="0.3">
      <c r="A14" s="60" t="str">
        <f ca="1">HYPERLINK("["&amp;LEFT(CELL("filename",A1),FIND("[",CELL("filename",A1))-2)&amp;"\CONTROL DE BUFFERS\REPORTES\Auditoria Datos Externos.xlsm]","Auditoría Datos ERP")</f>
        <v>Auditoría Datos ERP</v>
      </c>
      <c r="B14" s="36"/>
      <c r="C14" s="36"/>
      <c r="E14" s="36"/>
      <c r="F14" s="36"/>
      <c r="G14" s="44" t="s">
        <v>78</v>
      </c>
      <c r="H14" s="45"/>
      <c r="I14" s="46">
        <v>0.91666666666666663</v>
      </c>
    </row>
    <row r="15" spans="1:15" ht="15" customHeight="1" x14ac:dyDescent="0.25">
      <c r="A15" s="65" t="str">
        <f ca="1">HYPERLINK("["&amp;LEFT(CELL("filename",A1),FIND("[",CELL("filename",A1))-2)&amp;"\CONTROL DE BUFFERS\REPORTES\Buffer Histórico.xlsm]","Buffer Histórico")</f>
        <v>Buffer Histórico</v>
      </c>
      <c r="B15" s="36"/>
      <c r="C15" s="36"/>
      <c r="D15" s="36"/>
      <c r="E15" s="36"/>
      <c r="F15" s="36"/>
    </row>
    <row r="16" spans="1:15" ht="15" customHeight="1" x14ac:dyDescent="0.25">
      <c r="A16" s="37"/>
      <c r="B16" s="36"/>
      <c r="C16" s="36"/>
      <c r="D16" s="36"/>
      <c r="E16" s="36"/>
      <c r="F16" s="36"/>
    </row>
    <row r="17" spans="1:10" ht="15" customHeight="1" x14ac:dyDescent="0.25">
      <c r="A17" s="37"/>
      <c r="B17" s="36"/>
      <c r="C17" s="36"/>
      <c r="D17" s="36"/>
      <c r="E17" s="36"/>
      <c r="F17" s="36"/>
    </row>
    <row r="18" spans="1:10" ht="15" customHeight="1" x14ac:dyDescent="0.25">
      <c r="A18" s="37"/>
      <c r="B18" s="36"/>
      <c r="C18" s="36"/>
      <c r="D18" s="36"/>
      <c r="E18" s="36"/>
      <c r="F18" s="36"/>
      <c r="G18" s="1"/>
    </row>
    <row r="19" spans="1:10" ht="15" customHeight="1" x14ac:dyDescent="0.25">
      <c r="A19" s="37"/>
      <c r="B19" s="36"/>
      <c r="C19" s="36"/>
      <c r="D19" s="36"/>
      <c r="E19" s="36"/>
      <c r="F19" s="36"/>
      <c r="G19" s="1"/>
    </row>
    <row r="20" spans="1:10" ht="15" customHeight="1" x14ac:dyDescent="0.25">
      <c r="A20" s="37"/>
      <c r="B20" s="36"/>
      <c r="C20" s="36"/>
      <c r="D20" s="36"/>
      <c r="E20" s="36"/>
      <c r="F20" s="36"/>
      <c r="G20" s="1"/>
      <c r="H20" s="63"/>
    </row>
    <row r="21" spans="1:10" ht="15" customHeight="1" x14ac:dyDescent="0.25">
      <c r="A21" s="37"/>
      <c r="B21" s="36"/>
      <c r="C21" s="36"/>
      <c r="D21" s="36"/>
      <c r="E21" s="36"/>
      <c r="F21" s="36"/>
      <c r="G21" s="1"/>
      <c r="J21" s="63"/>
    </row>
    <row r="22" spans="1:10" ht="15" customHeight="1" x14ac:dyDescent="0.25">
      <c r="A22" s="37"/>
      <c r="B22" s="36"/>
      <c r="C22" s="36"/>
      <c r="D22" s="36"/>
      <c r="E22" s="36"/>
      <c r="F22" s="36"/>
      <c r="G22" s="1"/>
    </row>
    <row r="23" spans="1:10" ht="15" customHeight="1" x14ac:dyDescent="0.25">
      <c r="A23" s="37"/>
      <c r="B23" s="36"/>
      <c r="C23" s="36"/>
      <c r="D23" s="36"/>
      <c r="E23" s="36"/>
      <c r="F23" s="36"/>
      <c r="G23" s="1"/>
    </row>
    <row r="24" spans="1:10" ht="15" customHeight="1" x14ac:dyDescent="0.25">
      <c r="A24" s="36"/>
      <c r="B24" s="36"/>
      <c r="C24" s="36"/>
      <c r="D24" s="36"/>
      <c r="E24" s="36"/>
      <c r="F24" s="36"/>
      <c r="G24" s="1"/>
    </row>
    <row r="25" spans="1:10" ht="15" customHeight="1" x14ac:dyDescent="0.25">
      <c r="A25" s="36"/>
      <c r="B25" s="36"/>
      <c r="C25" s="36"/>
      <c r="D25" s="36"/>
      <c r="E25" s="36"/>
      <c r="F25" s="36"/>
      <c r="G25" s="1"/>
    </row>
    <row r="26" spans="1:10" ht="15" customHeight="1" x14ac:dyDescent="0.25">
      <c r="A26" s="36"/>
      <c r="B26" s="36"/>
      <c r="C26" s="36"/>
      <c r="D26" s="36"/>
      <c r="E26" s="36"/>
      <c r="F26" s="36"/>
      <c r="G26" s="1"/>
    </row>
    <row r="27" spans="1:10" ht="15" customHeight="1" x14ac:dyDescent="0.25">
      <c r="A27" s="36"/>
      <c r="B27" s="36"/>
      <c r="C27" s="36"/>
      <c r="D27" s="36"/>
      <c r="E27" s="36"/>
      <c r="F27" s="36"/>
      <c r="G27" s="1"/>
    </row>
    <row r="28" spans="1:10" ht="15" customHeight="1" x14ac:dyDescent="0.25">
      <c r="A28" s="36"/>
      <c r="B28" s="36"/>
      <c r="C28" s="36"/>
      <c r="D28" s="36"/>
      <c r="E28" s="36"/>
      <c r="F28" s="36"/>
      <c r="G28" s="1"/>
    </row>
    <row r="29" spans="1:10" x14ac:dyDescent="0.25">
      <c r="A29" s="36"/>
      <c r="B29" s="36"/>
      <c r="C29" s="36"/>
      <c r="D29" s="36"/>
      <c r="E29" s="36"/>
      <c r="F29" s="36"/>
      <c r="G29" s="1"/>
    </row>
    <row r="30" spans="1:10" x14ac:dyDescent="0.25">
      <c r="A30" s="36"/>
      <c r="B30" s="36"/>
      <c r="C30" s="36"/>
      <c r="D30" s="36"/>
      <c r="E30" s="36"/>
      <c r="F30" s="36"/>
      <c r="G30" s="1"/>
    </row>
    <row r="31" spans="1:10" x14ac:dyDescent="0.25">
      <c r="A31" s="36"/>
      <c r="B31" s="36"/>
      <c r="C31" s="36"/>
      <c r="D31" s="36"/>
      <c r="E31" s="36"/>
      <c r="F31" s="36"/>
      <c r="G31" s="1"/>
    </row>
    <row r="32" spans="1:10" x14ac:dyDescent="0.25">
      <c r="A32" s="36"/>
      <c r="B32" s="36"/>
      <c r="C32" s="36"/>
      <c r="D32" s="36"/>
      <c r="E32" s="36"/>
      <c r="F32" s="36"/>
      <c r="G32" s="1"/>
    </row>
    <row r="33" spans="1:7" x14ac:dyDescent="0.25">
      <c r="A33" s="1"/>
      <c r="B33" s="1"/>
      <c r="C33" s="36"/>
      <c r="D33" s="36"/>
      <c r="E33" s="36"/>
      <c r="F33" s="36"/>
      <c r="G33" s="1"/>
    </row>
    <row r="34" spans="1:7" x14ac:dyDescent="0.25">
      <c r="A34" s="1"/>
      <c r="B34" s="1"/>
      <c r="C34" s="1"/>
      <c r="D34" s="1"/>
      <c r="E34" s="1"/>
      <c r="F34" s="1"/>
      <c r="G34" s="1"/>
    </row>
    <row r="35" spans="1:7" x14ac:dyDescent="0.25">
      <c r="C35" s="1"/>
      <c r="D35" s="1"/>
      <c r="E35" s="1"/>
      <c r="F35" s="1"/>
      <c r="G35" s="1"/>
    </row>
    <row r="1048576" spans="16:16" x14ac:dyDescent="0.25">
      <c r="P1048576" s="55" t="s">
        <v>98</v>
      </c>
    </row>
  </sheetData>
  <sheetProtection algorithmName="SHA-512" hashValue="KUMNG10pJTbbP9iZpKgHVy3gVvFyzWVK5SVl6yMPVIym52uARcFIWQRJIk6RNYFUzto/f/vmC67annjwzoCNJw==" saltValue="of92vD7TTDZN6RIhJ/kAhA==" spinCount="100000" sheet="1" objects="1" scenarios="1" sort="0" autoFilter="0"/>
  <conditionalFormatting sqref="I8:I12">
    <cfRule type="expression" dxfId="21" priority="7">
      <formula>I8&lt;&gt;$I$6</formula>
    </cfRule>
  </conditionalFormatting>
  <conditionalFormatting sqref="I5">
    <cfRule type="expression" dxfId="20" priority="6">
      <formula>I5="Completo"</formula>
    </cfRule>
  </conditionalFormatting>
  <conditionalFormatting sqref="D11:E11">
    <cfRule type="expression" dxfId="19" priority="2">
      <formula>$D11="NO HAY ALERTAS"</formula>
    </cfRule>
    <cfRule type="expression" dxfId="18" priority="3">
      <formula>$D11="HAY ALERTAS"</formula>
    </cfRule>
  </conditionalFormatting>
  <conditionalFormatting sqref="D12:F12">
    <cfRule type="expression" dxfId="17" priority="1">
      <formula>$D12&lt;&gt;""</formula>
    </cfRule>
  </conditionalFormatting>
  <dataValidations count="1">
    <dataValidation type="time" allowBlank="1" showInputMessage="1" showErrorMessage="1" sqref="I13:I14 I7">
      <formula1>0</formula1>
      <formula2>0.999988425925926</formula2>
    </dataValidation>
  </dataValidations>
  <pageMargins left="0.7" right="0.7" top="0.75" bottom="0.75" header="0.3" footer="0.3"/>
  <pageSetup paperSize="9" scale="60" orientation="portrait" horizontalDpi="300" verticalDpi="300" r:id="rId1"/>
  <colBreaks count="1" manualBreakCount="1"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517" r:id="rId4" name="cmdTraeFechasRefrescado">
          <controlPr defaultSize="0" autoLine="0" r:id="rId5">
            <anchor>
              <from>
                <xdr:col>1</xdr:col>
                <xdr:colOff>981075</xdr:colOff>
                <xdr:row>4</xdr:row>
                <xdr:rowOff>19050</xdr:rowOff>
              </from>
              <to>
                <xdr:col>2</xdr:col>
                <xdr:colOff>542925</xdr:colOff>
                <xdr:row>4</xdr:row>
                <xdr:rowOff>276225</xdr:rowOff>
              </to>
            </anchor>
          </controlPr>
        </control>
      </mc:Choice>
      <mc:Fallback>
        <control shapeId="1517" r:id="rId4" name="cmdTraeFechasRefrescado"/>
      </mc:Fallback>
    </mc:AlternateContent>
    <mc:AlternateContent xmlns:mc="http://schemas.openxmlformats.org/markup-compatibility/2006">
      <mc:Choice Requires="x14">
        <control shapeId="1064" r:id="rId6" name="lstArchivos">
          <controlPr defaultSize="0" autoLine="0" autoPict="0" r:id="rId7">
            <anchor moveWithCells="1">
              <from>
                <xdr:col>0</xdr:col>
                <xdr:colOff>47625</xdr:colOff>
                <xdr:row>15</xdr:row>
                <xdr:rowOff>95250</xdr:rowOff>
              </from>
              <to>
                <xdr:col>5</xdr:col>
                <xdr:colOff>723900</xdr:colOff>
                <xdr:row>35</xdr:row>
                <xdr:rowOff>95250</xdr:rowOff>
              </to>
            </anchor>
          </controlPr>
        </control>
      </mc:Choice>
      <mc:Fallback>
        <control shapeId="1064" r:id="rId6" name="lstArchivos"/>
      </mc:Fallback>
    </mc:AlternateContent>
    <mc:AlternateContent xmlns:mc="http://schemas.openxmlformats.org/markup-compatibility/2006">
      <mc:Choice Requires="x14">
        <control shapeId="1062" r:id="rId8" name="cmd_Alertas_Actuales">
          <controlPr defaultSize="0" autoLine="0" r:id="rId9">
            <anchor>
              <from>
                <xdr:col>4</xdr:col>
                <xdr:colOff>266700</xdr:colOff>
                <xdr:row>10</xdr:row>
                <xdr:rowOff>9525</xdr:rowOff>
              </from>
              <to>
                <xdr:col>4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1062" r:id="rId8" name="cmd_Alertas_Actuales"/>
      </mc:Fallback>
    </mc:AlternateContent>
    <mc:AlternateContent xmlns:mc="http://schemas.openxmlformats.org/markup-compatibility/2006">
      <mc:Choice Requires="x14">
        <control shapeId="1056" r:id="rId10" name="cmdTransferencias">
          <controlPr defaultSize="0" autoLine="0" r:id="rId11">
            <anchor>
              <from>
                <xdr:col>0</xdr:col>
                <xdr:colOff>1647825</xdr:colOff>
                <xdr:row>5</xdr:row>
                <xdr:rowOff>38100</xdr:rowOff>
              </from>
              <to>
                <xdr:col>1</xdr:col>
                <xdr:colOff>742950</xdr:colOff>
                <xdr:row>7</xdr:row>
                <xdr:rowOff>180975</xdr:rowOff>
              </to>
            </anchor>
          </controlPr>
        </control>
      </mc:Choice>
      <mc:Fallback>
        <control shapeId="1056" r:id="rId10" name="cmdTransferencias"/>
      </mc:Fallback>
    </mc:AlternateContent>
    <mc:AlternateContent xmlns:mc="http://schemas.openxmlformats.org/markup-compatibility/2006">
      <mc:Choice Requires="x14">
        <control shapeId="1055" r:id="rId12" name="cmdGestionBuffers">
          <controlPr defaultSize="0" autoLine="0" r:id="rId13">
            <anchor>
              <from>
                <xdr:col>0</xdr:col>
                <xdr:colOff>742950</xdr:colOff>
                <xdr:row>5</xdr:row>
                <xdr:rowOff>38100</xdr:rowOff>
              </from>
              <to>
                <xdr:col>0</xdr:col>
                <xdr:colOff>1647825</xdr:colOff>
                <xdr:row>7</xdr:row>
                <xdr:rowOff>180975</xdr:rowOff>
              </to>
            </anchor>
          </controlPr>
        </control>
      </mc:Choice>
      <mc:Fallback>
        <control shapeId="1055" r:id="rId12" name="cmdGestionBuffers"/>
      </mc:Fallback>
    </mc:AlternateContent>
    <mc:AlternateContent xmlns:mc="http://schemas.openxmlformats.org/markup-compatibility/2006">
      <mc:Choice Requires="x14">
        <control shapeId="1054" r:id="rId14" name="cmdGraficoIndividual">
          <controlPr defaultSize="0" autoLine="0" r:id="rId15">
            <anchor>
              <from>
                <xdr:col>8</xdr:col>
                <xdr:colOff>28575</xdr:colOff>
                <xdr:row>21</xdr:row>
                <xdr:rowOff>123825</xdr:rowOff>
              </from>
              <to>
                <xdr:col>9</xdr:col>
                <xdr:colOff>657225</xdr:colOff>
                <xdr:row>22</xdr:row>
                <xdr:rowOff>180975</xdr:rowOff>
              </to>
            </anchor>
          </controlPr>
        </control>
      </mc:Choice>
      <mc:Fallback>
        <control shapeId="1054" r:id="rId14" name="cmdGraficoIndividual"/>
      </mc:Fallback>
    </mc:AlternateContent>
    <mc:AlternateContent xmlns:mc="http://schemas.openxmlformats.org/markup-compatibility/2006">
      <mc:Choice Requires="x14">
        <control shapeId="1052" r:id="rId16" name="cmdOK">
          <controlPr defaultSize="0" autoLine="0" r:id="rId17">
            <anchor moveWithCells="1">
              <from>
                <xdr:col>9</xdr:col>
                <xdr:colOff>714375</xdr:colOff>
                <xdr:row>22</xdr:row>
                <xdr:rowOff>171450</xdr:rowOff>
              </from>
              <to>
                <xdr:col>10</xdr:col>
                <xdr:colOff>438150</xdr:colOff>
                <xdr:row>24</xdr:row>
                <xdr:rowOff>66675</xdr:rowOff>
              </to>
            </anchor>
          </controlPr>
        </control>
      </mc:Choice>
      <mc:Fallback>
        <control shapeId="1052" r:id="rId16" name="cmdOK"/>
      </mc:Fallback>
    </mc:AlternateContent>
    <mc:AlternateContent xmlns:mc="http://schemas.openxmlformats.org/markup-compatibility/2006">
      <mc:Choice Requires="x14">
        <control shapeId="1051" r:id="rId18" name="lblBodegas">
          <controlPr autoLine="0" r:id="rId19">
            <anchor moveWithCells="1">
              <from>
                <xdr:col>7</xdr:col>
                <xdr:colOff>295275</xdr:colOff>
                <xdr:row>22</xdr:row>
                <xdr:rowOff>171450</xdr:rowOff>
              </from>
              <to>
                <xdr:col>9</xdr:col>
                <xdr:colOff>381000</xdr:colOff>
                <xdr:row>24</xdr:row>
                <xdr:rowOff>19050</xdr:rowOff>
              </to>
            </anchor>
          </controlPr>
        </control>
      </mc:Choice>
      <mc:Fallback>
        <control shapeId="1051" r:id="rId18" name="lblBodegas"/>
      </mc:Fallback>
    </mc:AlternateContent>
    <mc:AlternateContent xmlns:mc="http://schemas.openxmlformats.org/markup-compatibility/2006">
      <mc:Choice Requires="x14">
        <control shapeId="1050" r:id="rId20" name="lstBodegas">
          <controlPr defaultSize="0" autoLine="0" r:id="rId21">
            <anchor>
              <from>
                <xdr:col>7</xdr:col>
                <xdr:colOff>314325</xdr:colOff>
                <xdr:row>24</xdr:row>
                <xdr:rowOff>47625</xdr:rowOff>
              </from>
              <to>
                <xdr:col>11</xdr:col>
                <xdr:colOff>742950</xdr:colOff>
                <xdr:row>37</xdr:row>
                <xdr:rowOff>114300</xdr:rowOff>
              </to>
            </anchor>
          </controlPr>
        </control>
      </mc:Choice>
      <mc:Fallback>
        <control shapeId="1050" r:id="rId20" name="lstBodegas"/>
      </mc:Fallback>
    </mc:AlternateContent>
    <mc:AlternateContent xmlns:mc="http://schemas.openxmlformats.org/markup-compatibility/2006">
      <mc:Choice Requires="x14">
        <control shapeId="1049" r:id="rId22" name="cmdFiltraConsolidado">
          <controlPr defaultSize="0" autoLine="0" r:id="rId23">
            <anchor>
              <from>
                <xdr:col>8</xdr:col>
                <xdr:colOff>28575</xdr:colOff>
                <xdr:row>17</xdr:row>
                <xdr:rowOff>76200</xdr:rowOff>
              </from>
              <to>
                <xdr:col>9</xdr:col>
                <xdr:colOff>657225</xdr:colOff>
                <xdr:row>18</xdr:row>
                <xdr:rowOff>133350</xdr:rowOff>
              </to>
            </anchor>
          </controlPr>
        </control>
      </mc:Choice>
      <mc:Fallback>
        <control shapeId="1049" r:id="rId22" name="cmdFiltraConsolidado"/>
      </mc:Fallback>
    </mc:AlternateContent>
    <mc:AlternateContent xmlns:mc="http://schemas.openxmlformats.org/markup-compatibility/2006">
      <mc:Choice Requires="x14">
        <control shapeId="1048" r:id="rId24" name="cmdBuscaCodigo">
          <controlPr defaultSize="0" autoLine="0" r:id="rId25">
            <anchor>
              <from>
                <xdr:col>8</xdr:col>
                <xdr:colOff>28575</xdr:colOff>
                <xdr:row>18</xdr:row>
                <xdr:rowOff>171450</xdr:rowOff>
              </from>
              <to>
                <xdr:col>9</xdr:col>
                <xdr:colOff>657225</xdr:colOff>
                <xdr:row>20</xdr:row>
                <xdr:rowOff>38100</xdr:rowOff>
              </to>
            </anchor>
          </controlPr>
        </control>
      </mc:Choice>
      <mc:Fallback>
        <control shapeId="1048" r:id="rId24" name="cmdBuscaCodigo"/>
      </mc:Fallback>
    </mc:AlternateContent>
    <mc:AlternateContent xmlns:mc="http://schemas.openxmlformats.org/markup-compatibility/2006">
      <mc:Choice Requires="x14">
        <control shapeId="1047" r:id="rId26" name="cmdFiltraCodigo">
          <controlPr defaultSize="0" autoLine="0" r:id="rId27">
            <anchor>
              <from>
                <xdr:col>8</xdr:col>
                <xdr:colOff>28575</xdr:colOff>
                <xdr:row>20</xdr:row>
                <xdr:rowOff>47625</xdr:rowOff>
              </from>
              <to>
                <xdr:col>9</xdr:col>
                <xdr:colOff>657225</xdr:colOff>
                <xdr:row>21</xdr:row>
                <xdr:rowOff>104775</xdr:rowOff>
              </to>
            </anchor>
          </controlPr>
        </control>
      </mc:Choice>
      <mc:Fallback>
        <control shapeId="1047" r:id="rId26" name="cmdFiltraCodigo"/>
      </mc:Fallback>
    </mc:AlternateContent>
    <mc:AlternateContent xmlns:mc="http://schemas.openxmlformats.org/markup-compatibility/2006">
      <mc:Choice Requires="x14">
        <control shapeId="1046" r:id="rId28" name="cboSeleccion">
          <controlPr autoLine="0" r:id="rId29">
            <anchor>
              <from>
                <xdr:col>0</xdr:col>
                <xdr:colOff>9525</xdr:colOff>
                <xdr:row>2</xdr:row>
                <xdr:rowOff>123825</xdr:rowOff>
              </from>
              <to>
                <xdr:col>8</xdr:col>
                <xdr:colOff>714375</xdr:colOff>
                <xdr:row>4</xdr:row>
                <xdr:rowOff>0</xdr:rowOff>
              </to>
            </anchor>
          </controlPr>
        </control>
      </mc:Choice>
      <mc:Fallback>
        <control shapeId="1046" r:id="rId28" name="cboSeleccion"/>
      </mc:Fallback>
    </mc:AlternateContent>
    <mc:AlternateContent xmlns:mc="http://schemas.openxmlformats.org/markup-compatibility/2006">
      <mc:Choice Requires="x14">
        <control shapeId="1045" r:id="rId30" name="cmdBuscar">
          <controlPr defaultSize="0" autoLine="0" r:id="rId31">
            <anchor>
              <from>
                <xdr:col>0</xdr:col>
                <xdr:colOff>28575</xdr:colOff>
                <xdr:row>5</xdr:row>
                <xdr:rowOff>38100</xdr:rowOff>
              </from>
              <to>
                <xdr:col>0</xdr:col>
                <xdr:colOff>723900</xdr:colOff>
                <xdr:row>7</xdr:row>
                <xdr:rowOff>180975</xdr:rowOff>
              </to>
            </anchor>
          </controlPr>
        </control>
      </mc:Choice>
      <mc:Fallback>
        <control shapeId="1045" r:id="rId30" name="cmdBuscar"/>
      </mc:Fallback>
    </mc:AlternateContent>
    <mc:AlternateContent xmlns:mc="http://schemas.openxmlformats.org/markup-compatibility/2006">
      <mc:Choice Requires="x14">
        <control shapeId="1035" r:id="rId32" name="cmdReportesExpress">
          <controlPr defaultSize="0" autoLine="0" r:id="rId33">
            <anchor>
              <from>
                <xdr:col>2</xdr:col>
                <xdr:colOff>190500</xdr:colOff>
                <xdr:row>6</xdr:row>
                <xdr:rowOff>85725</xdr:rowOff>
              </from>
              <to>
                <xdr:col>3</xdr:col>
                <xdr:colOff>695325</xdr:colOff>
                <xdr:row>7</xdr:row>
                <xdr:rowOff>171450</xdr:rowOff>
              </to>
            </anchor>
          </controlPr>
        </control>
      </mc:Choice>
      <mc:Fallback>
        <control shapeId="1035" r:id="rId32" name="cmdReportesExpress"/>
      </mc:Fallback>
    </mc:AlternateContent>
    <mc:AlternateContent xmlns:mc="http://schemas.openxmlformats.org/markup-compatibility/2006">
      <mc:Choice Requires="x14">
        <control shapeId="1026" r:id="rId34" name="cmdRefrescar">
          <controlPr defaultSize="0" autoLine="0" r:id="rId35">
            <anchor>
              <from>
                <xdr:col>0</xdr:col>
                <xdr:colOff>1333500</xdr:colOff>
                <xdr:row>4</xdr:row>
                <xdr:rowOff>28575</xdr:rowOff>
              </from>
              <to>
                <xdr:col>1</xdr:col>
                <xdr:colOff>828675</xdr:colOff>
                <xdr:row>4</xdr:row>
                <xdr:rowOff>295275</xdr:rowOff>
              </to>
            </anchor>
          </controlPr>
        </control>
      </mc:Choice>
      <mc:Fallback>
        <control shapeId="1026" r:id="rId34" name="cmdRefrescar"/>
      </mc:Fallback>
    </mc:AlternateContent>
    <mc:AlternateContent xmlns:mc="http://schemas.openxmlformats.org/markup-compatibility/2006">
      <mc:Choice Requires="x14">
        <control shapeId="1034" r:id="rId36" name="cboEmpresa">
          <controlPr defaultSize="0" autoLine="0" r:id="rId37">
            <anchor>
              <from>
                <xdr:col>0</xdr:col>
                <xdr:colOff>0</xdr:colOff>
                <xdr:row>4</xdr:row>
                <xdr:rowOff>28575</xdr:rowOff>
              </from>
              <to>
                <xdr:col>0</xdr:col>
                <xdr:colOff>1266825</xdr:colOff>
                <xdr:row>4</xdr:row>
                <xdr:rowOff>276225</xdr:rowOff>
              </to>
            </anchor>
          </controlPr>
        </control>
      </mc:Choice>
      <mc:Fallback>
        <control shapeId="1034" r:id="rId36" name="cboEmpresa"/>
      </mc:Fallback>
    </mc:AlternateContent>
    <mc:AlternateContent xmlns:mc="http://schemas.openxmlformats.org/markup-compatibility/2006">
      <mc:Choice Requires="x14">
        <control shapeId="1036" r:id="rId38" name="cmdReportes">
          <controlPr defaultSize="0" autoLine="0" r:id="rId39">
            <anchor>
              <from>
                <xdr:col>2</xdr:col>
                <xdr:colOff>190500</xdr:colOff>
                <xdr:row>5</xdr:row>
                <xdr:rowOff>38100</xdr:rowOff>
              </from>
              <to>
                <xdr:col>3</xdr:col>
                <xdr:colOff>695325</xdr:colOff>
                <xdr:row>6</xdr:row>
                <xdr:rowOff>95250</xdr:rowOff>
              </to>
            </anchor>
          </controlPr>
        </control>
      </mc:Choice>
      <mc:Fallback>
        <control shapeId="1036" r:id="rId38" name="cmdReportes"/>
      </mc:Fallback>
    </mc:AlternateContent>
    <mc:AlternateContent xmlns:mc="http://schemas.openxmlformats.org/markup-compatibility/2006">
      <mc:Choice Requires="x14">
        <control shapeId="1053" r:id="rId40" name="cmdControl">
          <controlPr defaultSize="0" autoLine="0" r:id="rId41">
            <anchor>
              <from>
                <xdr:col>5</xdr:col>
                <xdr:colOff>38100</xdr:colOff>
                <xdr:row>5</xdr:row>
                <xdr:rowOff>38100</xdr:rowOff>
              </from>
              <to>
                <xdr:col>5</xdr:col>
                <xdr:colOff>733425</xdr:colOff>
                <xdr:row>6</xdr:row>
                <xdr:rowOff>95250</xdr:rowOff>
              </to>
            </anchor>
          </controlPr>
        </control>
      </mc:Choice>
      <mc:Fallback>
        <control shapeId="1053" r:id="rId40" name="cmdControl"/>
      </mc:Fallback>
    </mc:AlternateContent>
    <mc:AlternateContent xmlns:mc="http://schemas.openxmlformats.org/markup-compatibility/2006">
      <mc:Choice Requires="x14">
        <control shapeId="1057" r:id="rId42" name="cmdMantenimiento">
          <controlPr defaultSize="0" autoLine="0" r:id="rId43">
            <anchor>
              <from>
                <xdr:col>4</xdr:col>
                <xdr:colOff>428625</xdr:colOff>
                <xdr:row>4</xdr:row>
                <xdr:rowOff>28575</xdr:rowOff>
              </from>
              <to>
                <xdr:col>5</xdr:col>
                <xdr:colOff>733425</xdr:colOff>
                <xdr:row>4</xdr:row>
                <xdr:rowOff>285750</xdr:rowOff>
              </to>
            </anchor>
          </controlPr>
        </control>
      </mc:Choice>
      <mc:Fallback>
        <control shapeId="1057" r:id="rId42" name="cmdMantenimiento"/>
      </mc:Fallback>
    </mc:AlternateContent>
    <mc:AlternateContent xmlns:mc="http://schemas.openxmlformats.org/markup-compatibility/2006">
      <mc:Choice Requires="x14">
        <control shapeId="1059" r:id="rId44" name="cmd_Actualiza_bd">
          <controlPr defaultSize="0" autoLine="0" r:id="rId45">
            <anchor>
              <from>
                <xdr:col>3</xdr:col>
                <xdr:colOff>485775</xdr:colOff>
                <xdr:row>4</xdr:row>
                <xdr:rowOff>28575</xdr:rowOff>
              </from>
              <to>
                <xdr:col>4</xdr:col>
                <xdr:colOff>19050</xdr:colOff>
                <xdr:row>4</xdr:row>
                <xdr:rowOff>285750</xdr:rowOff>
              </to>
            </anchor>
          </controlPr>
        </control>
      </mc:Choice>
      <mc:Fallback>
        <control shapeId="1059" r:id="rId44" name="cmd_Actualiza_bd"/>
      </mc:Fallback>
    </mc:AlternateContent>
    <mc:AlternateContent xmlns:mc="http://schemas.openxmlformats.org/markup-compatibility/2006">
      <mc:Choice Requires="x14">
        <control shapeId="1060" r:id="rId46" name="cmd_refresca_items">
          <controlPr defaultSize="0" autoLine="0" r:id="rId47">
            <anchor>
              <from>
                <xdr:col>4</xdr:col>
                <xdr:colOff>104775</xdr:colOff>
                <xdr:row>4</xdr:row>
                <xdr:rowOff>28575</xdr:rowOff>
              </from>
              <to>
                <xdr:col>4</xdr:col>
                <xdr:colOff>400050</xdr:colOff>
                <xdr:row>4</xdr:row>
                <xdr:rowOff>285750</xdr:rowOff>
              </to>
            </anchor>
          </controlPr>
        </control>
      </mc:Choice>
      <mc:Fallback>
        <control shapeId="1060" r:id="rId46" name="cmd_refresca_items"/>
      </mc:Fallback>
    </mc:AlternateContent>
    <mc:AlternateContent xmlns:mc="http://schemas.openxmlformats.org/markup-compatibility/2006">
      <mc:Choice Requires="x14">
        <control shapeId="1061" r:id="rId48" name="Refrescar_Alertas">
          <controlPr defaultSize="0" autoLine="0" r:id="rId49">
            <anchor>
              <from>
                <xdr:col>4</xdr:col>
                <xdr:colOff>600075</xdr:colOff>
                <xdr:row>10</xdr:row>
                <xdr:rowOff>9525</xdr:rowOff>
              </from>
              <to>
                <xdr:col>4</xdr:col>
                <xdr:colOff>895350</xdr:colOff>
                <xdr:row>10</xdr:row>
                <xdr:rowOff>180975</xdr:rowOff>
              </to>
            </anchor>
          </controlPr>
        </control>
      </mc:Choice>
      <mc:Fallback>
        <control shapeId="1061" r:id="rId48" name="Refrescar_Alertas"/>
      </mc:Fallback>
    </mc:AlternateContent>
    <mc:AlternateContent xmlns:mc="http://schemas.openxmlformats.org/markup-compatibility/2006">
      <mc:Choice Requires="x14">
        <control shapeId="1066" r:id="rId50" name="cmdCambiaUsuario">
          <controlPr defaultSize="0" autoLine="0" r:id="rId51">
            <anchor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1066" r:id="rId50" name="cmdCambia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B1:S4"/>
  <sheetViews>
    <sheetView showGridLines="0" workbookViewId="0">
      <selection activeCell="B1" sqref="B1"/>
    </sheetView>
  </sheetViews>
  <sheetFormatPr baseColWidth="10" defaultRowHeight="15" x14ac:dyDescent="0.25"/>
  <cols>
    <col min="1" max="1" width="7.85546875" customWidth="1"/>
    <col min="2" max="2" width="13.42578125" customWidth="1"/>
    <col min="3" max="3" width="35.85546875" customWidth="1"/>
    <col min="4" max="4" width="13.85546875" customWidth="1"/>
    <col min="5" max="6" width="15.7109375" bestFit="1" customWidth="1"/>
    <col min="7" max="7" width="13.85546875" customWidth="1"/>
    <col min="8" max="8" width="11.42578125" customWidth="1"/>
    <col min="9" max="9" width="12.5703125" customWidth="1"/>
    <col min="10" max="10" width="14.42578125" customWidth="1"/>
    <col min="11" max="11" width="13.42578125" customWidth="1"/>
    <col min="12" max="12" width="17.5703125" customWidth="1"/>
    <col min="13" max="13" width="15.140625" customWidth="1"/>
    <col min="14" max="14" width="16.28515625" customWidth="1"/>
    <col min="17" max="17" width="11.85546875" bestFit="1" customWidth="1"/>
  </cols>
  <sheetData>
    <row r="1" spans="2:19" ht="30" x14ac:dyDescent="0.25">
      <c r="B1" s="68" t="s">
        <v>5</v>
      </c>
      <c r="C1" s="68" t="s">
        <v>95</v>
      </c>
      <c r="D1" s="68" t="s">
        <v>96</v>
      </c>
      <c r="E1" s="68" t="s">
        <v>138</v>
      </c>
      <c r="F1" s="68" t="s">
        <v>139</v>
      </c>
      <c r="G1" s="68" t="s">
        <v>97</v>
      </c>
      <c r="H1" s="68" t="s">
        <v>140</v>
      </c>
      <c r="I1" s="68" t="s">
        <v>146</v>
      </c>
      <c r="J1" s="68" t="s">
        <v>142</v>
      </c>
      <c r="K1" s="68" t="s">
        <v>141</v>
      </c>
      <c r="L1" s="68" t="s">
        <v>143</v>
      </c>
      <c r="M1" s="68" t="s">
        <v>144</v>
      </c>
      <c r="N1" s="68" t="s">
        <v>145</v>
      </c>
    </row>
    <row r="2" spans="2:19" x14ac:dyDescent="0.25">
      <c r="B2" t="s">
        <v>0</v>
      </c>
      <c r="C2" t="s">
        <v>132</v>
      </c>
      <c r="D2" s="10">
        <v>1</v>
      </c>
      <c r="E2" s="74">
        <v>42419.816886574074</v>
      </c>
      <c r="F2" s="74">
        <v>42419.817858796298</v>
      </c>
      <c r="G2" s="72">
        <f>tbl_Fechas_Refrescado[[#This Row],[FIN]]-tbl_Fechas_Refrescado[[#This Row],[INICIO]]</f>
        <v>9.7222222393611446E-4</v>
      </c>
      <c r="H2" s="69">
        <v>303</v>
      </c>
      <c r="I2" s="69">
        <v>0</v>
      </c>
      <c r="J2" s="69">
        <v>48</v>
      </c>
      <c r="K2" s="69">
        <v>48</v>
      </c>
      <c r="L2" s="70">
        <v>604578</v>
      </c>
      <c r="M2" s="70">
        <v>202454</v>
      </c>
      <c r="N2" s="70">
        <v>188922</v>
      </c>
      <c r="S2" s="71"/>
    </row>
    <row r="3" spans="2:19" x14ac:dyDescent="0.25">
      <c r="B3" t="s">
        <v>0</v>
      </c>
      <c r="C3" t="s">
        <v>130</v>
      </c>
      <c r="D3" s="10">
        <v>1</v>
      </c>
      <c r="E3" s="74">
        <v>42419.815347222226</v>
      </c>
      <c r="F3" s="74">
        <v>42419.816643518519</v>
      </c>
      <c r="G3" s="72">
        <f>tbl_Fechas_Refrescado[[#This Row],[FIN]]-tbl_Fechas_Refrescado[[#This Row],[INICIO]]</f>
        <v>1.2962962937308475E-3</v>
      </c>
      <c r="H3" s="69">
        <v>494</v>
      </c>
      <c r="I3" s="69">
        <v>0</v>
      </c>
      <c r="J3" s="69">
        <v>199</v>
      </c>
      <c r="K3" s="69">
        <v>99</v>
      </c>
      <c r="L3" s="70">
        <v>137750</v>
      </c>
      <c r="M3" s="70">
        <v>92610</v>
      </c>
      <c r="N3" s="70">
        <v>7177</v>
      </c>
    </row>
    <row r="4" spans="2:19" x14ac:dyDescent="0.25">
      <c r="B4" t="s">
        <v>147</v>
      </c>
      <c r="C4" s="10">
        <f>SUBTOTAL(103,tbl_Fechas_Refrescado[HOJA CB])</f>
        <v>2</v>
      </c>
      <c r="D4" s="10"/>
      <c r="E4" s="74">
        <f>SUBTOTAL(105,tbl_Fechas_Refrescado[INICIO])</f>
        <v>42419.815347222226</v>
      </c>
      <c r="F4" s="74">
        <f>SUBTOTAL(104,tbl_Fechas_Refrescado[FIN])</f>
        <v>42419.817858796298</v>
      </c>
      <c r="G4" s="72">
        <f>SUBTOTAL(109,tbl_Fechas_Refrescado[DURACIÓN])</f>
        <v>2.268518517666962E-3</v>
      </c>
      <c r="H4" s="10">
        <f>SUBTOTAL(104,tbl_Fechas_Refrescado[DIAS PERIODO])</f>
        <v>494</v>
      </c>
      <c r="I4" s="10">
        <f>SUBTOTAL(109,tbl_Fechas_Refrescado[DUPLICADOS])</f>
        <v>0</v>
      </c>
      <c r="J4" s="10">
        <f>SUBTOTAL(109,tbl_Fechas_Refrescado[SKUs Totales])</f>
        <v>247</v>
      </c>
      <c r="K4" s="10">
        <f>SUBTOTAL(109,tbl_Fechas_Refrescado[SKUs Buffer])</f>
        <v>147</v>
      </c>
      <c r="L4" s="70">
        <f>SUBTOTAL(109,tbl_Fechas_Refrescado[COSTO BUFFER])</f>
        <v>742328</v>
      </c>
      <c r="M4" s="70">
        <f>SUBTOTAL(109,tbl_Fechas_Refrescado[COSTO FISICO])</f>
        <v>295064</v>
      </c>
      <c r="N4" s="70">
        <f>SUBTOTAL(109,tbl_Fechas_Refrescado[COSTO TRANSITO])</f>
        <v>196099</v>
      </c>
    </row>
  </sheetData>
  <conditionalFormatting sqref="B2:N3">
    <cfRule type="expression" dxfId="16" priority="2">
      <formula>OR(AND($D2=1,(DATE(YEAR($F2),MONTH($F2),DAY($F2)))&lt;&gt;TODAY()),$D2=0)</formula>
    </cfRule>
  </conditionalFormatting>
  <conditionalFormatting sqref="I2:I3">
    <cfRule type="expression" dxfId="15" priority="1">
      <formula>I2&lt;&gt;0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mdVolver">
          <controlPr defaultSize="0" autoLine="0" r:id="rId5">
            <anchor>
              <from>
                <xdr:col>0</xdr:col>
                <xdr:colOff>9525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276225</xdr:rowOff>
              </to>
            </anchor>
          </controlPr>
        </control>
      </mc:Choice>
      <mc:Fallback>
        <control shapeId="27649" r:id="rId4" name="cmdVolver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"/>
  <sheetViews>
    <sheetView workbookViewId="0">
      <selection activeCell="D35" sqref="D35"/>
    </sheetView>
  </sheetViews>
  <sheetFormatPr baseColWidth="10" defaultRowHeight="15" x14ac:dyDescent="0.25"/>
  <cols>
    <col min="1" max="1" width="11.85546875" bestFit="1" customWidth="1"/>
  </cols>
  <sheetData>
    <row r="1" spans="1:1" x14ac:dyDescent="0.25">
      <c r="A1" t="str">
        <f ca="1">LEFT(CELL("filename",A1),FIND("[",CELL("filename",A1))-2)&amp;"\"</f>
        <v>D:\Documents CAS\RAM CAS\MEJORA CONTINUA\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249977111117893"/>
  </sheetPr>
  <dimension ref="A1:A3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8.140625" bestFit="1" customWidth="1"/>
  </cols>
  <sheetData>
    <row r="1" spans="1:1" x14ac:dyDescent="0.25">
      <c r="A1" t="s">
        <v>56</v>
      </c>
    </row>
    <row r="2" spans="1:1" x14ac:dyDescent="0.25">
      <c r="A2" t="s">
        <v>0</v>
      </c>
    </row>
    <row r="3" spans="1:1" x14ac:dyDescent="0.25">
      <c r="A3" t="s">
        <v>28</v>
      </c>
    </row>
  </sheetData>
  <sheetProtection sort="0" autoFilter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-0.249977111117893"/>
  </sheetPr>
  <dimension ref="A1:B1"/>
  <sheetViews>
    <sheetView showGridLines="0" workbookViewId="0">
      <selection activeCell="B2" sqref="B2:B15"/>
    </sheetView>
  </sheetViews>
  <sheetFormatPr baseColWidth="10" defaultColWidth="11.42578125" defaultRowHeight="15" x14ac:dyDescent="0.25"/>
  <cols>
    <col min="1" max="1" width="21.5703125" customWidth="1"/>
    <col min="2" max="2" width="36.28515625" customWidth="1"/>
  </cols>
  <sheetData>
    <row r="1" spans="1:2" x14ac:dyDescent="0.25">
      <c r="A1" t="s">
        <v>5</v>
      </c>
      <c r="B1" t="s">
        <v>6</v>
      </c>
    </row>
  </sheetData>
  <conditionalFormatting sqref="A2:B2">
    <cfRule type="expression" dxfId="14" priority="5">
      <formula>ISBLANK(A2)</formula>
    </cfRule>
  </conditionalFormatting>
  <conditionalFormatting sqref="A2">
    <cfRule type="expression" dxfId="13" priority="16">
      <formula>SUMPRODUCT(--($A$2:$A$2=A2),--($B$2:$B$2=B2))&gt;1</formula>
    </cfRule>
  </conditionalFormatting>
  <dataValidations count="1">
    <dataValidation type="list" allowBlank="1" showInputMessage="1" showErrorMessage="1" sqref="A2">
      <formula1>EMPRESA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3" tint="-0.249977111117893"/>
  </sheetPr>
  <dimension ref="A1:F20"/>
  <sheetViews>
    <sheetView showGridLines="0" zoomScale="90" zoomScaleNormal="90" workbookViewId="0">
      <selection activeCell="C29" sqref="C29"/>
    </sheetView>
  </sheetViews>
  <sheetFormatPr baseColWidth="10" defaultColWidth="11.42578125" defaultRowHeight="15" x14ac:dyDescent="0.25"/>
  <cols>
    <col min="1" max="1" width="11.42578125" customWidth="1"/>
    <col min="2" max="2" width="14.5703125" bestFit="1" customWidth="1"/>
    <col min="3" max="3" width="83.7109375" customWidth="1"/>
    <col min="4" max="4" width="27.42578125" bestFit="1" customWidth="1"/>
    <col min="5" max="5" width="9.7109375" customWidth="1"/>
    <col min="6" max="6" width="15.28515625" customWidth="1"/>
    <col min="8" max="8" width="17.140625" bestFit="1" customWidth="1"/>
    <col min="9" max="10" width="17.140625" customWidth="1"/>
    <col min="11" max="11" width="11.42578125" customWidth="1"/>
    <col min="14" max="14" width="38.28515625" bestFit="1" customWidth="1"/>
  </cols>
  <sheetData>
    <row r="1" spans="1:6" x14ac:dyDescent="0.25">
      <c r="A1" t="s">
        <v>2</v>
      </c>
      <c r="B1" t="s">
        <v>5</v>
      </c>
      <c r="C1" t="s">
        <v>3</v>
      </c>
      <c r="D1" t="s">
        <v>4</v>
      </c>
      <c r="E1" t="s">
        <v>8</v>
      </c>
      <c r="F1" t="s">
        <v>32</v>
      </c>
    </row>
    <row r="2" spans="1:6" hidden="1" x14ac:dyDescent="0.25">
      <c r="A2" s="13">
        <v>12</v>
      </c>
      <c r="B2" t="s">
        <v>1</v>
      </c>
      <c r="C2" t="s">
        <v>46</v>
      </c>
      <c r="D2" t="s">
        <v>15</v>
      </c>
      <c r="E2" s="3" t="str">
        <f>ARCHIVOSCB[[#This Row],[DIRECTORIO]]&amp;"\"&amp;ARCHIVOSCB[[#This Row],[ARCHIVO]]</f>
        <v>C:\RAM CAS\MEJORA CONTINUA\CONTROL DE BUFFERS\AGROINSUMOS\MATERIAPRIMA\COMPRAS-LOCALES.xlsm</v>
      </c>
      <c r="F2">
        <v>17</v>
      </c>
    </row>
    <row r="3" spans="1:6" hidden="1" x14ac:dyDescent="0.25">
      <c r="A3" s="10">
        <v>14</v>
      </c>
      <c r="B3" t="s">
        <v>1</v>
      </c>
      <c r="C3" t="s">
        <v>46</v>
      </c>
      <c r="D3" t="s">
        <v>16</v>
      </c>
      <c r="E3" s="3" t="str">
        <f>ARCHIVOSCB[[#This Row],[DIRECTORIO]]&amp;"\"&amp;ARCHIVOSCB[[#This Row],[ARCHIVO]]</f>
        <v>C:\RAM CAS\MEJORA CONTINUA\CONTROL DE BUFFERS\AGROINSUMOS\MATERIAPRIMA\IMPORTACIONES.xlsm</v>
      </c>
      <c r="F3">
        <v>19</v>
      </c>
    </row>
    <row r="4" spans="1:6" hidden="1" x14ac:dyDescent="0.25">
      <c r="A4" s="10">
        <v>15</v>
      </c>
      <c r="B4" t="s">
        <v>1</v>
      </c>
      <c r="C4" t="s">
        <v>34</v>
      </c>
      <c r="D4" t="s">
        <v>7</v>
      </c>
      <c r="E4" s="3" t="str">
        <f>ARCHIVOSCB[[#This Row],[DIRECTORIO]]&amp;"\"&amp;ARCHIVOSCB[[#This Row],[ARCHIVO]]</f>
        <v>C:\RAM CAS\MEJORA CONTINUA\CONTROL DE BUFFERS\AGROINSUMOS\CENTRAL\Control Buffers.xlsm</v>
      </c>
      <c r="F4">
        <v>26</v>
      </c>
    </row>
    <row r="5" spans="1:6" hidden="1" x14ac:dyDescent="0.25">
      <c r="A5" s="10">
        <v>21</v>
      </c>
      <c r="B5" t="s">
        <v>1</v>
      </c>
      <c r="C5" t="s">
        <v>35</v>
      </c>
      <c r="D5" t="s">
        <v>7</v>
      </c>
      <c r="E5" s="3" t="str">
        <f>ARCHIVOSCB[[#This Row],[DIRECTORIO]]&amp;"\"&amp;ARCHIVOSCB[[#This Row],[ARCHIVO]]</f>
        <v>C:\RAM CAS\MEJORA CONTINUA\CONTROL DE BUFFERS\AGROINSUMOS\AGRONUEVO\Control Buffers.xlsm</v>
      </c>
      <c r="F5">
        <v>37</v>
      </c>
    </row>
    <row r="6" spans="1:6" hidden="1" x14ac:dyDescent="0.25">
      <c r="A6" s="10">
        <v>22</v>
      </c>
      <c r="B6" t="s">
        <v>1</v>
      </c>
      <c r="C6" t="s">
        <v>36</v>
      </c>
      <c r="D6" t="s">
        <v>7</v>
      </c>
      <c r="E6" s="3" t="str">
        <f>ARCHIVOSCB[[#This Row],[DIRECTORIO]]&amp;"\"&amp;ARCHIVOSCB[[#This Row],[ARCHIVO]]</f>
        <v>C:\RAM CAS\MEJORA CONTINUA\CONTROL DE BUFFERS\AGROINSUMOS\AGROHERMANOSLEON\Control Buffers.xlsm</v>
      </c>
      <c r="F6">
        <v>38</v>
      </c>
    </row>
    <row r="7" spans="1:6" hidden="1" x14ac:dyDescent="0.25">
      <c r="A7" s="10">
        <v>23</v>
      </c>
      <c r="B7" t="s">
        <v>1</v>
      </c>
      <c r="C7" t="s">
        <v>37</v>
      </c>
      <c r="D7" t="s">
        <v>7</v>
      </c>
      <c r="E7" s="3" t="str">
        <f>ARCHIVOSCB[[#This Row],[DIRECTORIO]]&amp;"\"&amp;ARCHIVOSCB[[#This Row],[ARCHIVO]]</f>
        <v>C:\RAM CAS\MEJORA CONTINUA\CONTROL DE BUFFERS\AGROINSUMOS\MONCAYOLOPEZ\Control Buffers.xlsm</v>
      </c>
      <c r="F7">
        <v>34</v>
      </c>
    </row>
    <row r="8" spans="1:6" hidden="1" x14ac:dyDescent="0.25">
      <c r="A8" s="10">
        <v>28</v>
      </c>
      <c r="B8" t="s">
        <v>1</v>
      </c>
      <c r="C8" t="s">
        <v>38</v>
      </c>
      <c r="D8" t="s">
        <v>7</v>
      </c>
      <c r="E8" s="3" t="str">
        <f>ARCHIVOSCB[[#This Row],[DIRECTORIO]]&amp;"\"&amp;ARCHIVOSCB[[#This Row],[ARCHIVO]]</f>
        <v>C:\RAM CAS\MEJORA CONTINUA\CONTROL DE BUFFERS\AGROINSUMOS\LAFINCA\Control Buffers.xlsm</v>
      </c>
      <c r="F8">
        <v>43</v>
      </c>
    </row>
    <row r="9" spans="1:6" hidden="1" x14ac:dyDescent="0.25">
      <c r="A9" s="10">
        <v>36</v>
      </c>
      <c r="B9" t="s">
        <v>1</v>
      </c>
      <c r="C9" t="s">
        <v>39</v>
      </c>
      <c r="D9" t="s">
        <v>7</v>
      </c>
      <c r="E9" s="3" t="str">
        <f>ARCHIVOSCB[[#This Row],[DIRECTORIO]]&amp;"\"&amp;ARCHIVOSCB[[#This Row],[ARCHIVO]]</f>
        <v>C:\RAM CAS\MEJORA CONTINUA\CONTROL DE BUFFERS\AGROINSUMOS\EIGUANCHI\Control Buffers.xlsm</v>
      </c>
      <c r="F9">
        <v>51</v>
      </c>
    </row>
    <row r="10" spans="1:6" hidden="1" x14ac:dyDescent="0.25">
      <c r="A10" s="10">
        <v>1</v>
      </c>
      <c r="B10" t="s">
        <v>0</v>
      </c>
      <c r="C10" t="s">
        <v>33</v>
      </c>
      <c r="D10" t="s">
        <v>47</v>
      </c>
      <c r="E10" s="3" t="str">
        <f>ARCHIVOSCB[[#This Row],[DIRECTORIO]]&amp;"\"&amp;ARCHIVOSCB[[#This Row],[ARCHIVO]]</f>
        <v>C:\RAM CAS\MEJORA CONTINUA\CONTROL DE BUFFERS\AGROTA\CENTRAL\ACCESORIOS.xlsm</v>
      </c>
      <c r="F10">
        <v>1</v>
      </c>
    </row>
    <row r="11" spans="1:6" hidden="1" x14ac:dyDescent="0.25">
      <c r="A11" s="10">
        <v>2</v>
      </c>
      <c r="B11" t="s">
        <v>0</v>
      </c>
      <c r="C11" t="s">
        <v>33</v>
      </c>
      <c r="D11" t="s">
        <v>48</v>
      </c>
      <c r="E11" s="3" t="str">
        <f>ARCHIVOSCB[[#This Row],[DIRECTORIO]]&amp;"\"&amp;ARCHIVOSCB[[#This Row],[ARCHIVO]]</f>
        <v>C:\RAM CAS\MEJORA CONTINUA\CONTROL DE BUFFERS\AGROTA\CENTRAL\ECHO.xlsm</v>
      </c>
      <c r="F11">
        <v>2</v>
      </c>
    </row>
    <row r="12" spans="1:6" hidden="1" x14ac:dyDescent="0.25">
      <c r="A12" s="10">
        <v>3</v>
      </c>
      <c r="B12" t="s">
        <v>0</v>
      </c>
      <c r="C12" t="s">
        <v>33</v>
      </c>
      <c r="D12" t="s">
        <v>49</v>
      </c>
      <c r="E12" s="3" t="str">
        <f>ARCHIVOSCB[[#This Row],[DIRECTORIO]]&amp;"\"&amp;ARCHIVOSCB[[#This Row],[ARCHIVO]]</f>
        <v>C:\RAM CAS\MEJORA CONTINUA\CONTROL DE BUFFERS\AGROTA\CENTRAL\SHINDAIWA.xlsm</v>
      </c>
      <c r="F12">
        <v>3</v>
      </c>
    </row>
    <row r="13" spans="1:6" hidden="1" x14ac:dyDescent="0.25">
      <c r="A13" s="10">
        <v>4</v>
      </c>
      <c r="B13" t="s">
        <v>0</v>
      </c>
      <c r="C13" t="s">
        <v>33</v>
      </c>
      <c r="D13" t="s">
        <v>50</v>
      </c>
      <c r="E13" s="3" t="str">
        <f>ARCHIVOSCB[[#This Row],[DIRECTORIO]]&amp;"\"&amp;ARCHIVOSCB[[#This Row],[ARCHIVO]]</f>
        <v>C:\RAM CAS\MEJORA CONTINUA\CONTROL DE BUFFERS\AGROTA\CENTRAL\MAQ-ECHO-SHINDAIWA.xlsm</v>
      </c>
      <c r="F13">
        <v>4</v>
      </c>
    </row>
    <row r="14" spans="1:6" hidden="1" x14ac:dyDescent="0.25">
      <c r="A14" s="10">
        <v>5</v>
      </c>
      <c r="B14" t="s">
        <v>0</v>
      </c>
      <c r="C14" t="s">
        <v>33</v>
      </c>
      <c r="D14" t="s">
        <v>51</v>
      </c>
      <c r="E14" s="3" t="str">
        <f>ARCHIVOSCB[[#This Row],[DIRECTORIO]]&amp;"\"&amp;ARCHIVOSCB[[#This Row],[ARCHIVO]]</f>
        <v>C:\RAM CAS\MEJORA CONTINUA\CONTROL DE BUFFERS\AGROTA\CENTRAL\LINEA-JF.xlsm</v>
      </c>
      <c r="F14">
        <v>5</v>
      </c>
    </row>
    <row r="15" spans="1:6" hidden="1" x14ac:dyDescent="0.25">
      <c r="A15" s="10">
        <v>30</v>
      </c>
      <c r="B15" t="s">
        <v>0</v>
      </c>
      <c r="C15" t="s">
        <v>52</v>
      </c>
      <c r="D15" t="s">
        <v>7</v>
      </c>
      <c r="E15" s="3" t="str">
        <f>ARCHIVOSCB[[#This Row],[DIRECTORIO]]&amp;"\"&amp;ARCHIVOSCB[[#This Row],[ARCHIVO]]</f>
        <v>C:\RAM CAS\MEJORA CONTINUA\CONTROL DE BUFFERS\AGROTA\MAXGUAYAQUIL\Control Buffers.xlsm</v>
      </c>
      <c r="F15">
        <v>45</v>
      </c>
    </row>
    <row r="16" spans="1:6" hidden="1" x14ac:dyDescent="0.25">
      <c r="A16" s="10">
        <v>34</v>
      </c>
      <c r="B16" t="s">
        <v>0</v>
      </c>
      <c r="C16" t="s">
        <v>53</v>
      </c>
      <c r="D16" t="s">
        <v>7</v>
      </c>
      <c r="E16" s="3" t="str">
        <f>ARCHIVOSCB[[#This Row],[DIRECTORIO]]&amp;"\"&amp;ARCHIVOSCB[[#This Row],[ARCHIVO]]</f>
        <v>C:\RAM CAS\MEJORA CONTINUA\CONTROL DE BUFFERS\AGROTA\PROMACOFI\Control Buffers.xlsm</v>
      </c>
      <c r="F16">
        <v>49</v>
      </c>
    </row>
    <row r="17" spans="1:6" hidden="1" x14ac:dyDescent="0.25">
      <c r="A17" s="10">
        <v>35</v>
      </c>
      <c r="B17" t="s">
        <v>0</v>
      </c>
      <c r="C17" t="s">
        <v>54</v>
      </c>
      <c r="D17" t="s">
        <v>7</v>
      </c>
      <c r="E17" s="3" t="str">
        <f>ARCHIVOSCB[[#This Row],[DIRECTORIO]]&amp;"\"&amp;ARCHIVOSCB[[#This Row],[ARCHIVO]]</f>
        <v>C:\RAM CAS\MEJORA CONTINUA\CONTROL DE BUFFERS\AGROTA\EIGUANCHI\Control Buffers.xlsm</v>
      </c>
      <c r="F17">
        <v>50</v>
      </c>
    </row>
    <row r="18" spans="1:6" hidden="1" x14ac:dyDescent="0.25">
      <c r="A18" s="10">
        <v>37</v>
      </c>
      <c r="B18" t="s">
        <v>28</v>
      </c>
      <c r="C18" t="s">
        <v>40</v>
      </c>
      <c r="D18" t="s">
        <v>29</v>
      </c>
      <c r="E18" s="3" t="str">
        <f>ARCHIVOSCB[[#This Row],[DIRECTORIO]]&amp;"\"&amp;ARCHIVOSCB[[#This Row],[ARCHIVO]]</f>
        <v>C:\RAM CAS\MEJORA CONTINUA\CONTROL DE BUFFERS\SUKAMPO\CENTRAL\CENTRAL.xlsm</v>
      </c>
      <c r="F18">
        <v>52</v>
      </c>
    </row>
    <row r="19" spans="1:6" hidden="1" x14ac:dyDescent="0.25">
      <c r="A19" s="10">
        <v>38</v>
      </c>
      <c r="B19" t="s">
        <v>28</v>
      </c>
      <c r="C19" t="s">
        <v>41</v>
      </c>
      <c r="D19" t="s">
        <v>30</v>
      </c>
      <c r="E19" s="3" t="str">
        <f>ARCHIVOSCB[[#This Row],[DIRECTORIO]]&amp;"\"&amp;ARCHIVOSCB[[#This Row],[ARCHIVO]]</f>
        <v>C:\RAM CAS\MEJORA CONTINUA\CONTROL DE BUFFERS\SUKAMPO\SUCRE\SUCRE.xlsm</v>
      </c>
      <c r="F19">
        <v>54</v>
      </c>
    </row>
    <row r="20" spans="1:6" hidden="1" x14ac:dyDescent="0.25">
      <c r="A20" s="10">
        <v>40</v>
      </c>
      <c r="B20" t="s">
        <v>28</v>
      </c>
      <c r="C20" t="s">
        <v>42</v>
      </c>
      <c r="D20" t="s">
        <v>31</v>
      </c>
      <c r="E20" s="3" t="str">
        <f>ARCHIVOSCB[[#This Row],[DIRECTORIO]]&amp;"\"&amp;ARCHIVOSCB[[#This Row],[ARCHIVO]]</f>
        <v>C:\RAM CAS\MEJORA CONTINUA\CONTROL DE BUFFERS\SUKAMPO\CENTRALPROPIA\CENTRALPROPIA.xlsm</v>
      </c>
      <c r="F20">
        <v>53</v>
      </c>
    </row>
  </sheetData>
  <conditionalFormatting sqref="A2:F20">
    <cfRule type="expression" dxfId="12" priority="1">
      <formula>ISBLANK(A2)</formula>
    </cfRule>
  </conditionalFormatting>
  <conditionalFormatting sqref="A2:A20">
    <cfRule type="duplicateValues" dxfId="11" priority="49"/>
    <cfRule type="duplicateValues" dxfId="10" priority="50"/>
    <cfRule type="duplicateValues" dxfId="9" priority="51"/>
  </conditionalFormatting>
  <dataValidations count="1">
    <dataValidation type="list" allowBlank="1" showInputMessage="1" showErrorMessage="1" sqref="B2:B20">
      <formula1>EMPRESA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2" r:id="rId4" name="cmdCancelar">
          <controlPr defaultSize="0" print="0" autoLine="0" r:id="rId5">
            <anchor>
              <from>
                <xdr:col>6</xdr:col>
                <xdr:colOff>66675</xdr:colOff>
                <xdr:row>21</xdr:row>
                <xdr:rowOff>57150</xdr:rowOff>
              </from>
              <to>
                <xdr:col>7</xdr:col>
                <xdr:colOff>190500</xdr:colOff>
                <xdr:row>23</xdr:row>
                <xdr:rowOff>0</xdr:rowOff>
              </to>
            </anchor>
          </controlPr>
        </control>
      </mc:Choice>
      <mc:Fallback>
        <control shapeId="5122" r:id="rId4" name="cmdCancelar"/>
      </mc:Fallback>
    </mc:AlternateContent>
    <mc:AlternateContent xmlns:mc="http://schemas.openxmlformats.org/markup-compatibility/2006">
      <mc:Choice Requires="x14">
        <control shapeId="5121" r:id="rId6" name="cmdGuardar">
          <controlPr defaultSize="0" print="0" autoLine="0" r:id="rId7">
            <anchor>
              <from>
                <xdr:col>6</xdr:col>
                <xdr:colOff>66675</xdr:colOff>
                <xdr:row>0</xdr:row>
                <xdr:rowOff>38100</xdr:rowOff>
              </from>
              <to>
                <xdr:col>7</xdr:col>
                <xdr:colOff>190500</xdr:colOff>
                <xdr:row>20</xdr:row>
                <xdr:rowOff>171450</xdr:rowOff>
              </to>
            </anchor>
          </controlPr>
        </control>
      </mc:Choice>
      <mc:Fallback>
        <control shapeId="5121" r:id="rId6" name="cmdGuardar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3" tint="-0.249977111117893"/>
  </sheetPr>
  <dimension ref="A1:J2"/>
  <sheetViews>
    <sheetView showGridLines="0" topLeftCell="B1" zoomScale="85" zoomScaleNormal="85" workbookViewId="0">
      <selection activeCell="C2" sqref="C2:C3"/>
    </sheetView>
  </sheetViews>
  <sheetFormatPr baseColWidth="10" defaultColWidth="11.42578125" defaultRowHeight="15" x14ac:dyDescent="0.25"/>
  <cols>
    <col min="2" max="2" width="14.5703125" bestFit="1" customWidth="1"/>
    <col min="3" max="3" width="35.28515625" bestFit="1" customWidth="1"/>
    <col min="4" max="4" width="109.85546875" bestFit="1" customWidth="1"/>
    <col min="5" max="5" width="26.140625" customWidth="1"/>
    <col min="6" max="6" width="15.28515625" customWidth="1"/>
    <col min="7" max="7" width="14.7109375" customWidth="1"/>
  </cols>
  <sheetData>
    <row r="1" spans="1:10" x14ac:dyDescent="0.25">
      <c r="A1" t="s">
        <v>2</v>
      </c>
      <c r="B1" t="s">
        <v>5</v>
      </c>
      <c r="C1" t="s">
        <v>6</v>
      </c>
      <c r="D1" t="s">
        <v>8</v>
      </c>
      <c r="E1" t="s">
        <v>4</v>
      </c>
      <c r="F1" t="s">
        <v>17</v>
      </c>
      <c r="G1" t="s">
        <v>18</v>
      </c>
      <c r="H1" t="s">
        <v>27</v>
      </c>
      <c r="I1" t="s">
        <v>26</v>
      </c>
      <c r="J1" t="s">
        <v>55</v>
      </c>
    </row>
    <row r="2" spans="1:10" x14ac:dyDescent="0.25">
      <c r="A2" s="10"/>
      <c r="D2" s="2"/>
      <c r="E2" s="2"/>
    </row>
  </sheetData>
  <conditionalFormatting sqref="A2:I2">
    <cfRule type="expression" dxfId="8" priority="2">
      <formula>ISBLANK(A2)</formula>
    </cfRule>
  </conditionalFormatting>
  <conditionalFormatting sqref="A2">
    <cfRule type="duplicateValues" dxfId="7" priority="101"/>
    <cfRule type="duplicateValues" dxfId="6" priority="102"/>
    <cfRule type="duplicateValues" dxfId="5" priority="103"/>
    <cfRule type="duplicateValues" dxfId="4" priority="104"/>
  </conditionalFormatting>
  <conditionalFormatting sqref="B2">
    <cfRule type="expression" dxfId="3" priority="105">
      <formula>SUMPRODUCT(--($B$2:$B$2=B2),--($C$2:$C$2=C2),--($D$2:$D$2=D2),--($J$2:$J$2=J2))&gt;1</formula>
    </cfRule>
  </conditionalFormatting>
  <dataValidations count="1">
    <dataValidation type="list" allowBlank="1" showInputMessage="1" showErrorMessage="1" sqref="B2">
      <formula1>EMPRESA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249977111117893"/>
  </sheetPr>
  <dimension ref="B1:F2"/>
  <sheetViews>
    <sheetView workbookViewId="0">
      <selection activeCell="B1" sqref="B1:F2"/>
    </sheetView>
  </sheetViews>
  <sheetFormatPr baseColWidth="10" defaultColWidth="11.42578125" defaultRowHeight="15" x14ac:dyDescent="0.25"/>
  <cols>
    <col min="3" max="3" width="16.5703125" customWidth="1"/>
    <col min="4" max="4" width="13.42578125" customWidth="1"/>
    <col min="5" max="5" width="17.42578125" customWidth="1"/>
  </cols>
  <sheetData>
    <row r="1" spans="2:6" x14ac:dyDescent="0.25">
      <c r="B1" s="14" t="s">
        <v>55</v>
      </c>
      <c r="C1" s="14" t="s">
        <v>17</v>
      </c>
      <c r="D1" s="14" t="s">
        <v>18</v>
      </c>
      <c r="E1" s="14" t="s">
        <v>27</v>
      </c>
      <c r="F1" s="14" t="s">
        <v>26</v>
      </c>
    </row>
    <row r="2" spans="2:6" x14ac:dyDescent="0.25">
      <c r="B2" s="15"/>
      <c r="C2" s="15"/>
      <c r="D2" s="15"/>
      <c r="E2" s="15"/>
      <c r="F2" s="15"/>
    </row>
  </sheetData>
  <conditionalFormatting sqref="C2:F2">
    <cfRule type="expression" dxfId="2" priority="1">
      <formula>ISBLANK(C2)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3" tint="-0.249977111117893"/>
  </sheetPr>
  <dimension ref="A1:D47"/>
  <sheetViews>
    <sheetView showGridLines="0" workbookViewId="0">
      <selection activeCell="A2" sqref="A2:D2"/>
    </sheetView>
  </sheetViews>
  <sheetFormatPr baseColWidth="10" defaultColWidth="11.42578125" defaultRowHeight="15" x14ac:dyDescent="0.25"/>
  <cols>
    <col min="1" max="1" width="18.5703125" customWidth="1"/>
    <col min="2" max="2" width="35.28515625" bestFit="1" customWidth="1"/>
    <col min="3" max="3" width="28.85546875" bestFit="1" customWidth="1"/>
  </cols>
  <sheetData>
    <row r="1" spans="1:4" x14ac:dyDescent="0.25">
      <c r="A1" t="s">
        <v>24</v>
      </c>
      <c r="B1" t="s">
        <v>23</v>
      </c>
      <c r="C1" t="s">
        <v>43</v>
      </c>
      <c r="D1" t="s">
        <v>44</v>
      </c>
    </row>
    <row r="2" spans="1:4" x14ac:dyDescent="0.25">
      <c r="A2" t="s">
        <v>0</v>
      </c>
      <c r="B2" t="s">
        <v>100</v>
      </c>
      <c r="C2" t="s">
        <v>101</v>
      </c>
      <c r="D2">
        <v>1</v>
      </c>
    </row>
    <row r="3" spans="1:4" x14ac:dyDescent="0.25">
      <c r="A3" t="s">
        <v>0</v>
      </c>
      <c r="B3" t="s">
        <v>102</v>
      </c>
      <c r="C3" t="s">
        <v>101</v>
      </c>
      <c r="D3">
        <v>1</v>
      </c>
    </row>
    <row r="4" spans="1:4" x14ac:dyDescent="0.25">
      <c r="A4" t="s">
        <v>0</v>
      </c>
      <c r="B4" t="s">
        <v>103</v>
      </c>
      <c r="C4" t="s">
        <v>101</v>
      </c>
      <c r="D4">
        <v>1</v>
      </c>
    </row>
    <row r="5" spans="1:4" x14ac:dyDescent="0.25">
      <c r="A5" t="s">
        <v>0</v>
      </c>
      <c r="B5" t="s">
        <v>103</v>
      </c>
      <c r="C5" t="s">
        <v>105</v>
      </c>
      <c r="D5">
        <v>2</v>
      </c>
    </row>
    <row r="6" spans="1:4" x14ac:dyDescent="0.25">
      <c r="A6" t="s">
        <v>0</v>
      </c>
      <c r="B6" t="s">
        <v>103</v>
      </c>
      <c r="C6" t="s">
        <v>104</v>
      </c>
      <c r="D6">
        <v>5</v>
      </c>
    </row>
    <row r="7" spans="1:4" x14ac:dyDescent="0.25">
      <c r="A7" t="s">
        <v>0</v>
      </c>
      <c r="B7" t="s">
        <v>104</v>
      </c>
      <c r="C7" t="s">
        <v>106</v>
      </c>
      <c r="D7">
        <v>1</v>
      </c>
    </row>
    <row r="8" spans="1:4" x14ac:dyDescent="0.25">
      <c r="A8" t="s">
        <v>0</v>
      </c>
      <c r="B8" t="s">
        <v>104</v>
      </c>
      <c r="C8" t="s">
        <v>107</v>
      </c>
      <c r="D8">
        <v>2</v>
      </c>
    </row>
    <row r="9" spans="1:4" x14ac:dyDescent="0.25">
      <c r="A9" t="s">
        <v>0</v>
      </c>
      <c r="B9" t="s">
        <v>104</v>
      </c>
      <c r="C9" t="s">
        <v>108</v>
      </c>
      <c r="D9">
        <v>3</v>
      </c>
    </row>
    <row r="10" spans="1:4" x14ac:dyDescent="0.25">
      <c r="A10" t="s">
        <v>0</v>
      </c>
      <c r="B10" t="s">
        <v>104</v>
      </c>
      <c r="C10" t="s">
        <v>109</v>
      </c>
      <c r="D10">
        <v>4</v>
      </c>
    </row>
    <row r="11" spans="1:4" x14ac:dyDescent="0.25">
      <c r="A11" t="s">
        <v>0</v>
      </c>
      <c r="B11" t="s">
        <v>104</v>
      </c>
      <c r="C11" t="s">
        <v>110</v>
      </c>
      <c r="D11">
        <v>5</v>
      </c>
    </row>
    <row r="12" spans="1:4" x14ac:dyDescent="0.25">
      <c r="A12" t="s">
        <v>0</v>
      </c>
      <c r="B12" t="s">
        <v>104</v>
      </c>
      <c r="C12" t="s">
        <v>111</v>
      </c>
      <c r="D12">
        <v>6</v>
      </c>
    </row>
    <row r="13" spans="1:4" x14ac:dyDescent="0.25">
      <c r="A13" t="s">
        <v>0</v>
      </c>
      <c r="B13" t="s">
        <v>104</v>
      </c>
      <c r="C13" t="s">
        <v>112</v>
      </c>
      <c r="D13">
        <v>7</v>
      </c>
    </row>
    <row r="14" spans="1:4" x14ac:dyDescent="0.25">
      <c r="A14" t="s">
        <v>0</v>
      </c>
      <c r="B14" t="s">
        <v>101</v>
      </c>
      <c r="C14" t="s">
        <v>106</v>
      </c>
      <c r="D14">
        <v>1</v>
      </c>
    </row>
    <row r="15" spans="1:4" x14ac:dyDescent="0.25">
      <c r="A15" t="s">
        <v>0</v>
      </c>
      <c r="B15" t="s">
        <v>101</v>
      </c>
      <c r="C15" t="s">
        <v>113</v>
      </c>
      <c r="D15">
        <v>2</v>
      </c>
    </row>
    <row r="16" spans="1:4" x14ac:dyDescent="0.25">
      <c r="A16" t="s">
        <v>0</v>
      </c>
      <c r="B16" t="s">
        <v>101</v>
      </c>
      <c r="C16" t="s">
        <v>107</v>
      </c>
      <c r="D16">
        <v>3</v>
      </c>
    </row>
    <row r="17" spans="1:4" x14ac:dyDescent="0.25">
      <c r="A17" t="s">
        <v>0</v>
      </c>
      <c r="B17" t="s">
        <v>101</v>
      </c>
      <c r="C17" t="s">
        <v>108</v>
      </c>
      <c r="D17">
        <v>4</v>
      </c>
    </row>
    <row r="18" spans="1:4" x14ac:dyDescent="0.25">
      <c r="A18" t="s">
        <v>0</v>
      </c>
      <c r="B18" t="s">
        <v>101</v>
      </c>
      <c r="C18" t="s">
        <v>111</v>
      </c>
      <c r="D18">
        <v>5</v>
      </c>
    </row>
    <row r="19" spans="1:4" x14ac:dyDescent="0.25">
      <c r="A19" t="s">
        <v>0</v>
      </c>
      <c r="B19" t="s">
        <v>101</v>
      </c>
      <c r="C19" t="s">
        <v>110</v>
      </c>
      <c r="D19">
        <v>6</v>
      </c>
    </row>
    <row r="20" spans="1:4" x14ac:dyDescent="0.25">
      <c r="A20" t="s">
        <v>0</v>
      </c>
      <c r="B20" t="s">
        <v>101</v>
      </c>
      <c r="C20" t="s">
        <v>109</v>
      </c>
      <c r="D20">
        <v>7</v>
      </c>
    </row>
    <row r="21" spans="1:4" x14ac:dyDescent="0.25">
      <c r="A21" t="s">
        <v>0</v>
      </c>
      <c r="B21" t="s">
        <v>101</v>
      </c>
      <c r="C21" t="s">
        <v>112</v>
      </c>
      <c r="D21">
        <v>8</v>
      </c>
    </row>
    <row r="22" spans="1:4" x14ac:dyDescent="0.25">
      <c r="A22" t="s">
        <v>0</v>
      </c>
      <c r="B22" t="s">
        <v>101</v>
      </c>
      <c r="C22" t="s">
        <v>114</v>
      </c>
      <c r="D22">
        <v>9</v>
      </c>
    </row>
    <row r="23" spans="1:4" x14ac:dyDescent="0.25">
      <c r="A23" t="s">
        <v>0</v>
      </c>
      <c r="B23" t="s">
        <v>101</v>
      </c>
      <c r="C23" t="s">
        <v>115</v>
      </c>
      <c r="D23">
        <v>10</v>
      </c>
    </row>
    <row r="24" spans="1:4" x14ac:dyDescent="0.25">
      <c r="A24" t="s">
        <v>0</v>
      </c>
      <c r="B24" t="s">
        <v>101</v>
      </c>
      <c r="C24" t="s">
        <v>116</v>
      </c>
      <c r="D24">
        <v>11</v>
      </c>
    </row>
    <row r="25" spans="1:4" x14ac:dyDescent="0.25">
      <c r="A25" t="s">
        <v>0</v>
      </c>
      <c r="B25" t="s">
        <v>105</v>
      </c>
      <c r="C25" t="s">
        <v>106</v>
      </c>
      <c r="D25">
        <v>1</v>
      </c>
    </row>
    <row r="26" spans="1:4" x14ac:dyDescent="0.25">
      <c r="A26" t="s">
        <v>0</v>
      </c>
      <c r="B26" t="s">
        <v>105</v>
      </c>
      <c r="C26" t="s">
        <v>107</v>
      </c>
      <c r="D26">
        <v>2</v>
      </c>
    </row>
    <row r="27" spans="1:4" x14ac:dyDescent="0.25">
      <c r="A27" t="s">
        <v>0</v>
      </c>
      <c r="B27" t="s">
        <v>105</v>
      </c>
      <c r="C27" t="s">
        <v>109</v>
      </c>
      <c r="D27">
        <v>3</v>
      </c>
    </row>
    <row r="28" spans="1:4" x14ac:dyDescent="0.25">
      <c r="A28" t="s">
        <v>0</v>
      </c>
      <c r="B28" t="s">
        <v>105</v>
      </c>
      <c r="C28" t="s">
        <v>108</v>
      </c>
      <c r="D28">
        <v>4</v>
      </c>
    </row>
    <row r="29" spans="1:4" x14ac:dyDescent="0.25">
      <c r="A29" t="s">
        <v>0</v>
      </c>
      <c r="B29" t="s">
        <v>105</v>
      </c>
      <c r="C29" t="s">
        <v>110</v>
      </c>
      <c r="D29">
        <v>5</v>
      </c>
    </row>
    <row r="30" spans="1:4" x14ac:dyDescent="0.25">
      <c r="A30" t="s">
        <v>0</v>
      </c>
      <c r="B30" t="s">
        <v>105</v>
      </c>
      <c r="C30" t="s">
        <v>111</v>
      </c>
      <c r="D30">
        <v>6</v>
      </c>
    </row>
    <row r="31" spans="1:4" x14ac:dyDescent="0.25">
      <c r="A31" t="s">
        <v>0</v>
      </c>
      <c r="B31" t="s">
        <v>105</v>
      </c>
      <c r="C31" t="s">
        <v>117</v>
      </c>
      <c r="D31">
        <v>7</v>
      </c>
    </row>
    <row r="32" spans="1:4" x14ac:dyDescent="0.25">
      <c r="A32" t="s">
        <v>0</v>
      </c>
      <c r="B32" t="s">
        <v>105</v>
      </c>
      <c r="C32" t="s">
        <v>118</v>
      </c>
      <c r="D32">
        <v>8</v>
      </c>
    </row>
    <row r="33" spans="1:4" x14ac:dyDescent="0.25">
      <c r="A33" t="s">
        <v>0</v>
      </c>
      <c r="B33" t="s">
        <v>119</v>
      </c>
      <c r="C33" t="s">
        <v>101</v>
      </c>
      <c r="D33">
        <v>1</v>
      </c>
    </row>
    <row r="34" spans="1:4" x14ac:dyDescent="0.25">
      <c r="A34" t="s">
        <v>0</v>
      </c>
      <c r="B34" t="s">
        <v>120</v>
      </c>
      <c r="C34" t="s">
        <v>101</v>
      </c>
      <c r="D34">
        <v>1</v>
      </c>
    </row>
    <row r="35" spans="1:4" x14ac:dyDescent="0.25">
      <c r="A35" t="s">
        <v>0</v>
      </c>
      <c r="B35" t="s">
        <v>121</v>
      </c>
      <c r="C35" t="s">
        <v>101</v>
      </c>
      <c r="D35">
        <v>1</v>
      </c>
    </row>
    <row r="36" spans="1:4" x14ac:dyDescent="0.25">
      <c r="A36" t="s">
        <v>0</v>
      </c>
      <c r="B36" t="s">
        <v>122</v>
      </c>
      <c r="C36" t="s">
        <v>118</v>
      </c>
      <c r="D36">
        <v>1</v>
      </c>
    </row>
    <row r="37" spans="1:4" x14ac:dyDescent="0.25">
      <c r="A37" t="s">
        <v>0</v>
      </c>
      <c r="B37" t="s">
        <v>122</v>
      </c>
      <c r="C37" t="s">
        <v>113</v>
      </c>
      <c r="D37">
        <v>2</v>
      </c>
    </row>
    <row r="38" spans="1:4" x14ac:dyDescent="0.25">
      <c r="A38" t="s">
        <v>0</v>
      </c>
      <c r="B38" t="s">
        <v>122</v>
      </c>
      <c r="C38" t="s">
        <v>117</v>
      </c>
      <c r="D38">
        <v>3</v>
      </c>
    </row>
    <row r="39" spans="1:4" x14ac:dyDescent="0.25">
      <c r="A39" t="s">
        <v>0</v>
      </c>
      <c r="B39" t="s">
        <v>122</v>
      </c>
      <c r="C39" t="s">
        <v>123</v>
      </c>
      <c r="D39">
        <v>4</v>
      </c>
    </row>
    <row r="40" spans="1:4" x14ac:dyDescent="0.25">
      <c r="A40" t="s">
        <v>0</v>
      </c>
      <c r="B40" t="s">
        <v>124</v>
      </c>
      <c r="C40" t="s">
        <v>122</v>
      </c>
      <c r="D40">
        <v>1</v>
      </c>
    </row>
    <row r="41" spans="1:4" x14ac:dyDescent="0.25">
      <c r="A41" t="s">
        <v>0</v>
      </c>
      <c r="B41" t="s">
        <v>124</v>
      </c>
      <c r="C41" t="s">
        <v>112</v>
      </c>
      <c r="D41">
        <v>2</v>
      </c>
    </row>
    <row r="42" spans="1:4" x14ac:dyDescent="0.25">
      <c r="A42" t="s">
        <v>0</v>
      </c>
      <c r="B42" t="s">
        <v>124</v>
      </c>
      <c r="C42" t="s">
        <v>125</v>
      </c>
      <c r="D42">
        <v>3</v>
      </c>
    </row>
    <row r="43" spans="1:4" x14ac:dyDescent="0.25">
      <c r="A43" t="s">
        <v>0</v>
      </c>
      <c r="B43" t="s">
        <v>124</v>
      </c>
      <c r="C43" t="s">
        <v>126</v>
      </c>
      <c r="D43">
        <v>4</v>
      </c>
    </row>
    <row r="44" spans="1:4" x14ac:dyDescent="0.25">
      <c r="A44" t="s">
        <v>0</v>
      </c>
      <c r="B44" t="s">
        <v>124</v>
      </c>
      <c r="C44" t="s">
        <v>127</v>
      </c>
      <c r="D44">
        <v>5</v>
      </c>
    </row>
    <row r="45" spans="1:4" x14ac:dyDescent="0.25">
      <c r="A45" t="s">
        <v>0</v>
      </c>
      <c r="B45" t="s">
        <v>124</v>
      </c>
      <c r="C45" t="s">
        <v>109</v>
      </c>
      <c r="D45">
        <v>9</v>
      </c>
    </row>
    <row r="46" spans="1:4" x14ac:dyDescent="0.25">
      <c r="A46" t="s">
        <v>0</v>
      </c>
      <c r="B46" t="s">
        <v>124</v>
      </c>
      <c r="C46" t="s">
        <v>128</v>
      </c>
      <c r="D46">
        <v>15</v>
      </c>
    </row>
    <row r="47" spans="1:4" x14ac:dyDescent="0.25">
      <c r="A47" t="s">
        <v>28</v>
      </c>
      <c r="B47" t="s">
        <v>129</v>
      </c>
      <c r="C47" t="s">
        <v>101</v>
      </c>
      <c r="D47">
        <v>1</v>
      </c>
    </row>
  </sheetData>
  <conditionalFormatting sqref="A2:D47">
    <cfRule type="expression" dxfId="1" priority="2">
      <formula>ISBLANK(A2)</formula>
    </cfRule>
  </conditionalFormatting>
  <conditionalFormatting sqref="A2:A47">
    <cfRule type="expression" dxfId="0" priority="2014">
      <formula>SUMPRODUCT(--($A$2:$A$47=A2),--($B$2:$B$47=B2),--($D$2:$D$47=D2))&gt;1</formula>
    </cfRule>
  </conditionalFormatting>
  <dataValidations count="1">
    <dataValidation type="list" allowBlank="1" showInputMessage="1" showErrorMessage="1" sqref="A2:A47">
      <formula1>EMPRESA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C6"/>
  <sheetViews>
    <sheetView showGridLines="0" zoomScale="120" zoomScaleNormal="120" workbookViewId="0">
      <selection activeCell="A2" sqref="A2"/>
    </sheetView>
  </sheetViews>
  <sheetFormatPr baseColWidth="10" defaultColWidth="11.42578125" defaultRowHeight="15" x14ac:dyDescent="0.25"/>
  <cols>
    <col min="1" max="1" width="38.5703125" customWidth="1"/>
    <col min="2" max="2" width="27.85546875" customWidth="1"/>
    <col min="3" max="3" width="14.7109375" bestFit="1" customWidth="1"/>
    <col min="4" max="4" width="17.42578125" customWidth="1"/>
    <col min="16" max="16" width="33.85546875" customWidth="1"/>
    <col min="17" max="17" width="26.7109375" customWidth="1"/>
    <col min="18" max="18" width="17.28515625" customWidth="1"/>
    <col min="19" max="19" width="20.140625" customWidth="1"/>
  </cols>
  <sheetData>
    <row r="1" spans="1:3" ht="21" x14ac:dyDescent="0.35">
      <c r="A1" s="9" t="s">
        <v>45</v>
      </c>
      <c r="B1" s="8"/>
    </row>
    <row r="2" spans="1:3" x14ac:dyDescent="0.25">
      <c r="A2" t="s">
        <v>4</v>
      </c>
      <c r="B2" t="s">
        <v>10</v>
      </c>
      <c r="C2" t="s">
        <v>11</v>
      </c>
    </row>
    <row r="3" spans="1:3" x14ac:dyDescent="0.25">
      <c r="A3" s="1" t="s">
        <v>76</v>
      </c>
      <c r="B3" s="39">
        <v>41852</v>
      </c>
      <c r="C3" s="11">
        <f ca="1">Tabla_DIAS_RESTANTES[[#This Row],[FIN PERÍODO]]-TODAY()</f>
        <v>-571</v>
      </c>
    </row>
    <row r="4" spans="1:3" x14ac:dyDescent="0.25">
      <c r="A4" s="1" t="s">
        <v>75</v>
      </c>
      <c r="B4" s="39">
        <v>41866</v>
      </c>
      <c r="C4" s="11">
        <f ca="1">Tabla_DIAS_RESTANTES[[#This Row],[FIN PERÍODO]]-TODAY()</f>
        <v>-557</v>
      </c>
    </row>
    <row r="5" spans="1:3" x14ac:dyDescent="0.25">
      <c r="A5" s="1" t="s">
        <v>77</v>
      </c>
      <c r="B5" s="39">
        <v>41866</v>
      </c>
      <c r="C5" s="11">
        <f ca="1">Tabla_DIAS_RESTANTES[[#This Row],[FIN PERÍODO]]-TODAY()</f>
        <v>-557</v>
      </c>
    </row>
    <row r="6" spans="1:3" x14ac:dyDescent="0.25">
      <c r="A6" s="1" t="s">
        <v>72</v>
      </c>
      <c r="B6" s="39">
        <v>41873</v>
      </c>
      <c r="C6" s="11">
        <f ca="1">Tabla_DIAS_RESTANTES[[#This Row],[FIN PERÍODO]]-TODAY()</f>
        <v>-550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mdVolver">
          <controlPr defaultSize="0" print="0" autoLine="0" r:id="rId5">
            <anchor>
              <from>
                <xdr:col>3</xdr:col>
                <xdr:colOff>533400</xdr:colOff>
                <xdr:row>0</xdr:row>
                <xdr:rowOff>57150</xdr:rowOff>
              </from>
              <to>
                <xdr:col>4</xdr:col>
                <xdr:colOff>104775</xdr:colOff>
                <xdr:row>1</xdr:row>
                <xdr:rowOff>66675</xdr:rowOff>
              </to>
            </anchor>
          </controlPr>
        </control>
      </mc:Choice>
      <mc:Fallback>
        <control shapeId="2049" r:id="rId4" name="cmdVolver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7"/>
  <sheetViews>
    <sheetView showGridLines="0" zoomScale="120" zoomScaleNormal="120" workbookViewId="0">
      <selection activeCell="A2" sqref="A2"/>
    </sheetView>
  </sheetViews>
  <sheetFormatPr baseColWidth="10" defaultColWidth="11.42578125" defaultRowHeight="15" x14ac:dyDescent="0.25"/>
  <cols>
    <col min="1" max="1" width="45.5703125" bestFit="1" customWidth="1"/>
    <col min="2" max="2" width="26" customWidth="1"/>
    <col min="3" max="3" width="20.7109375" customWidth="1"/>
    <col min="4" max="4" width="22" customWidth="1"/>
  </cols>
  <sheetData>
    <row r="1" spans="1:4" ht="24" customHeight="1" x14ac:dyDescent="0.35">
      <c r="A1" s="9" t="s">
        <v>135</v>
      </c>
    </row>
    <row r="2" spans="1:4" x14ac:dyDescent="0.25">
      <c r="A2" s="10" t="s">
        <v>95</v>
      </c>
      <c r="B2" s="10" t="s">
        <v>13</v>
      </c>
      <c r="C2" s="10" t="s">
        <v>12</v>
      </c>
      <c r="D2" s="10" t="s">
        <v>79</v>
      </c>
    </row>
    <row r="3" spans="1:4" x14ac:dyDescent="0.25">
      <c r="A3" t="s">
        <v>130</v>
      </c>
      <c r="B3" s="10">
        <v>199</v>
      </c>
      <c r="C3" s="10">
        <v>99</v>
      </c>
      <c r="D3" s="52">
        <f>Tabla_NUMERO_ITEMS[[#This Row],[ITEMS CON BUFFER]]/Tabla_NUMERO_ITEMS[[#This Row],[TODOS ITEMS]]</f>
        <v>0.49748743718592964</v>
      </c>
    </row>
    <row r="4" spans="1:4" x14ac:dyDescent="0.25">
      <c r="A4" t="s">
        <v>131</v>
      </c>
      <c r="B4" s="10">
        <v>134</v>
      </c>
      <c r="C4" s="10">
        <v>103</v>
      </c>
      <c r="D4" s="52">
        <f>Tabla_NUMERO_ITEMS[[#This Row],[ITEMS CON BUFFER]]/Tabla_NUMERO_ITEMS[[#This Row],[TODOS ITEMS]]</f>
        <v>0.76865671641791045</v>
      </c>
    </row>
    <row r="5" spans="1:4" x14ac:dyDescent="0.25">
      <c r="A5" t="s">
        <v>132</v>
      </c>
      <c r="B5" s="10">
        <v>48</v>
      </c>
      <c r="C5" s="10">
        <v>48</v>
      </c>
      <c r="D5" s="52">
        <f>Tabla_NUMERO_ITEMS[[#This Row],[ITEMS CON BUFFER]]/Tabla_NUMERO_ITEMS[[#This Row],[TODOS ITEMS]]</f>
        <v>1</v>
      </c>
    </row>
    <row r="6" spans="1:4" x14ac:dyDescent="0.25">
      <c r="A6" t="s">
        <v>134</v>
      </c>
      <c r="B6" s="10">
        <v>249</v>
      </c>
      <c r="C6" s="10">
        <v>140</v>
      </c>
      <c r="D6" s="52">
        <f>Tabla_NUMERO_ITEMS[[#This Row],[ITEMS CON BUFFER]]/Tabla_NUMERO_ITEMS[[#This Row],[TODOS ITEMS]]</f>
        <v>0.56224899598393574</v>
      </c>
    </row>
    <row r="7" spans="1:4" x14ac:dyDescent="0.25">
      <c r="A7" s="73" t="s">
        <v>80</v>
      </c>
      <c r="B7" s="10">
        <f>SUBTOTAL(109,Tabla_NUMERO_ITEMS[TODOS ITEMS])</f>
        <v>630</v>
      </c>
      <c r="C7" s="10">
        <f>SUBTOTAL(109,Tabla_NUMERO_ITEMS[ITEMS CON BUFFER])</f>
        <v>390</v>
      </c>
      <c r="D7" s="52">
        <f>SUBTOTAL(101,Tabla_NUMERO_ITEMS[% ITEMS CON BUFFER])</f>
        <v>0.70709828739694391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Volver">
          <controlPr defaultSize="0" print="0" autoLine="0" r:id="rId5">
            <anchor>
              <from>
                <xdr:col>3</xdr:col>
                <xdr:colOff>333375</xdr:colOff>
                <xdr:row>0</xdr:row>
                <xdr:rowOff>28575</xdr:rowOff>
              </from>
              <to>
                <xdr:col>3</xdr:col>
                <xdr:colOff>1066800</xdr:colOff>
                <xdr:row>1</xdr:row>
                <xdr:rowOff>0</xdr:rowOff>
              </to>
            </anchor>
          </controlPr>
        </control>
      </mc:Choice>
      <mc:Fallback>
        <control shapeId="3073" r:id="rId4" name="cmdVolver"/>
      </mc:Fallback>
    </mc:AlternateContent>
  </controls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O1"/>
  <sheetViews>
    <sheetView showGridLines="0" workbookViewId="0"/>
  </sheetViews>
  <sheetFormatPr baseColWidth="10" defaultColWidth="11.42578125" defaultRowHeight="15" x14ac:dyDescent="0.25"/>
  <sheetData>
    <row r="1" spans="41:41" x14ac:dyDescent="0.25">
      <c r="AO1" t="s">
        <v>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Cargar">
          <controlPr defaultSize="0" autoLine="0" r:id="rId4">
            <anchor moveWithCells="1">
              <from>
                <xdr:col>0</xdr:col>
                <xdr:colOff>276225</xdr:colOff>
                <xdr:row>1</xdr:row>
                <xdr:rowOff>95250</xdr:rowOff>
              </from>
              <to>
                <xdr:col>2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4097" r:id="rId3" name="cmdCargar"/>
      </mc:Fallback>
    </mc:AlternateContent>
    <mc:AlternateContent xmlns:mc="http://schemas.openxmlformats.org/markup-compatibility/2006">
      <mc:Choice Requires="x14">
        <control shapeId="4098" r:id="rId5" name="cmdCancelar">
          <controlPr defaultSize="0" autoLine="0" r:id="rId6">
            <anchor moveWithCells="1">
              <from>
                <xdr:col>0</xdr:col>
                <xdr:colOff>285750</xdr:colOff>
                <xdr:row>4</xdr:row>
                <xdr:rowOff>19050</xdr:rowOff>
              </from>
              <to>
                <xdr:col>2</xdr:col>
                <xdr:colOff>19050</xdr:colOff>
                <xdr:row>6</xdr:row>
                <xdr:rowOff>38100</xdr:rowOff>
              </to>
            </anchor>
          </controlPr>
        </control>
      </mc:Choice>
      <mc:Fallback>
        <control shapeId="4098" r:id="rId5" name="cmdCancel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1"/>
  <sheetViews>
    <sheetView showGridLines="0" zoomScale="85" zoomScaleNormal="85" workbookViewId="0">
      <selection activeCell="D2" sqref="D2"/>
    </sheetView>
  </sheetViews>
  <sheetFormatPr baseColWidth="10" defaultColWidth="11.42578125" defaultRowHeight="15" x14ac:dyDescent="0.25"/>
  <cols>
    <col min="1" max="1" width="9.85546875" customWidth="1"/>
    <col min="2" max="2" width="32.28515625" customWidth="1"/>
    <col min="3" max="3" width="59.28515625" bestFit="1" customWidth="1"/>
    <col min="4" max="4" width="9.85546875" customWidth="1"/>
    <col min="5" max="5" width="36.28515625" bestFit="1" customWidth="1"/>
    <col min="6" max="6" width="8.85546875" bestFit="1" customWidth="1"/>
    <col min="7" max="7" width="18.85546875" bestFit="1" customWidth="1"/>
  </cols>
  <sheetData>
    <row r="1" spans="1:4" x14ac:dyDescent="0.25">
      <c r="A1" t="s">
        <v>19</v>
      </c>
      <c r="B1" t="s">
        <v>23</v>
      </c>
      <c r="D1" t="s">
        <v>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N8"/>
  <sheetViews>
    <sheetView showGridLines="0" topLeftCell="C1" workbookViewId="0">
      <selection activeCell="K2" sqref="K2:K3"/>
    </sheetView>
  </sheetViews>
  <sheetFormatPr baseColWidth="10" defaultColWidth="11.42578125" defaultRowHeight="15" x14ac:dyDescent="0.25"/>
  <cols>
    <col min="1" max="1" width="10.85546875" customWidth="1"/>
    <col min="2" max="2" width="32.28515625" customWidth="1"/>
    <col min="3" max="3" width="9.5703125" customWidth="1"/>
    <col min="4" max="4" width="13.7109375" customWidth="1"/>
    <col min="5" max="5" width="19.28515625" customWidth="1"/>
    <col min="7" max="7" width="10.85546875" customWidth="1"/>
    <col min="8" max="8" width="11.42578125" customWidth="1"/>
    <col min="9" max="9" width="8" customWidth="1"/>
    <col min="11" max="11" width="10.85546875" customWidth="1"/>
    <col min="12" max="12" width="11.42578125" customWidth="1"/>
    <col min="13" max="13" width="8" customWidth="1"/>
    <col min="14" max="15" width="13.140625" customWidth="1"/>
    <col min="16" max="16" width="80.85546875" customWidth="1"/>
  </cols>
  <sheetData>
    <row r="1" spans="1:14" x14ac:dyDescent="0.25">
      <c r="A1" t="s">
        <v>24</v>
      </c>
      <c r="B1" t="s">
        <v>23</v>
      </c>
      <c r="C1" t="s">
        <v>19</v>
      </c>
      <c r="D1" t="s">
        <v>9</v>
      </c>
      <c r="E1" t="s">
        <v>25</v>
      </c>
      <c r="G1" t="s">
        <v>6</v>
      </c>
      <c r="H1" t="s">
        <v>4</v>
      </c>
      <c r="I1" t="s">
        <v>8</v>
      </c>
      <c r="K1" t="s">
        <v>6</v>
      </c>
      <c r="L1" t="s">
        <v>4</v>
      </c>
      <c r="M1" t="s">
        <v>8</v>
      </c>
      <c r="N1" t="s">
        <v>59</v>
      </c>
    </row>
    <row r="2" spans="1:14" x14ac:dyDescent="0.25">
      <c r="A2" t="s">
        <v>89</v>
      </c>
      <c r="B2" t="s">
        <v>90</v>
      </c>
      <c r="C2" t="s">
        <v>91</v>
      </c>
      <c r="D2" t="s">
        <v>29</v>
      </c>
      <c r="E2" s="2"/>
      <c r="L2" s="54"/>
      <c r="M2" s="54"/>
      <c r="N2" s="54"/>
    </row>
    <row r="8" spans="1:14" x14ac:dyDescent="0.25">
      <c r="D8" s="1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1"/>
  <sheetViews>
    <sheetView workbookViewId="0">
      <selection activeCell="F1" sqref="F1"/>
    </sheetView>
  </sheetViews>
  <sheetFormatPr baseColWidth="10" defaultColWidth="11.42578125" defaultRowHeight="15" x14ac:dyDescent="0.25"/>
  <sheetData>
    <row r="1" spans="1:2" x14ac:dyDescent="0.25">
      <c r="A1">
        <v>1</v>
      </c>
      <c r="B1" t="s">
        <v>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E10"/>
  <sheetViews>
    <sheetView showGridLines="0" showRowColHeaders="0" workbookViewId="0">
      <selection activeCell="G12" sqref="G12"/>
    </sheetView>
  </sheetViews>
  <sheetFormatPr baseColWidth="10" defaultColWidth="11.42578125" defaultRowHeight="15" x14ac:dyDescent="0.25"/>
  <cols>
    <col min="1" max="16384" width="11.42578125" style="20"/>
  </cols>
  <sheetData>
    <row r="2" spans="1:5" ht="23.25" x14ac:dyDescent="0.35">
      <c r="A2" s="21" t="s">
        <v>57</v>
      </c>
    </row>
    <row r="4" spans="1:5" ht="15.75" x14ac:dyDescent="0.25">
      <c r="A4" s="22" t="str">
        <f>Trans_Dada_Baja</f>
        <v>C:\RAM CAS\MEJORA CONTINUA\INVENTARIOS\HISTORIAL INVENTARIOS\TRANSFERENCIAS ABIERTAS\595 _ 8-4-2013 - IMPORTACIÓN - AGROTACENTRAL.xlsm</v>
      </c>
    </row>
    <row r="10" spans="1:5" x14ac:dyDescent="0.25">
      <c r="E10" s="1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mdNoBorrar">
          <controlPr defaultSize="0" autoLine="0" r:id="rId5">
            <anchor moveWithCells="1">
              <from>
                <xdr:col>0</xdr:col>
                <xdr:colOff>142875</xdr:colOff>
                <xdr:row>9</xdr:row>
                <xdr:rowOff>142875</xdr:rowOff>
              </from>
              <to>
                <xdr:col>5</xdr:col>
                <xdr:colOff>133350</xdr:colOff>
                <xdr:row>12</xdr:row>
                <xdr:rowOff>85725</xdr:rowOff>
              </to>
            </anchor>
          </controlPr>
        </control>
      </mc:Choice>
      <mc:Fallback>
        <control shapeId="10242" r:id="rId4" name="cmdNoBorrar"/>
      </mc:Fallback>
    </mc:AlternateContent>
    <mc:AlternateContent xmlns:mc="http://schemas.openxmlformats.org/markup-compatibility/2006">
      <mc:Choice Requires="x14">
        <control shapeId="10241" r:id="rId6" name="cmdBorrarTransferDadaBaja">
          <controlPr defaultSize="0" autoLine="0" r:id="rId7">
            <anchor moveWithCells="1">
              <from>
                <xdr:col>0</xdr:col>
                <xdr:colOff>142875</xdr:colOff>
                <xdr:row>4</xdr:row>
                <xdr:rowOff>161925</xdr:rowOff>
              </from>
              <to>
                <xdr:col>5</xdr:col>
                <xdr:colOff>142875</xdr:colOff>
                <xdr:row>8</xdr:row>
                <xdr:rowOff>180975</xdr:rowOff>
              </to>
            </anchor>
          </controlPr>
        </control>
      </mc:Choice>
      <mc:Fallback>
        <control shapeId="10241" r:id="rId6" name="cmdBorrarTransferDadaBaja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D1"/>
  <sheetViews>
    <sheetView showGridLines="0" zoomScale="85" zoomScaleNormal="85" workbookViewId="0">
      <selection sqref="A1:D1"/>
    </sheetView>
  </sheetViews>
  <sheetFormatPr baseColWidth="10" defaultColWidth="11.42578125" defaultRowHeight="15" x14ac:dyDescent="0.25"/>
  <cols>
    <col min="1" max="1" width="20" bestFit="1" customWidth="1"/>
    <col min="2" max="2" width="70.28515625" bestFit="1" customWidth="1"/>
    <col min="3" max="3" width="59.28515625" bestFit="1" customWidth="1"/>
    <col min="4" max="4" width="15" bestFit="1" customWidth="1"/>
  </cols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B4"/>
  <sheetViews>
    <sheetView workbookViewId="0">
      <selection activeCell="B1" sqref="B1"/>
    </sheetView>
  </sheetViews>
  <sheetFormatPr baseColWidth="10" defaultColWidth="11.42578125" defaultRowHeight="15" x14ac:dyDescent="0.25"/>
  <cols>
    <col min="1" max="1" width="16.28515625" bestFit="1" customWidth="1"/>
    <col min="2" max="2" width="15.7109375" bestFit="1" customWidth="1"/>
  </cols>
  <sheetData>
    <row r="1" spans="1:2" x14ac:dyDescent="0.25">
      <c r="A1" t="s">
        <v>65</v>
      </c>
      <c r="B1" s="40">
        <v>42419.815000000002</v>
      </c>
    </row>
    <row r="2" spans="1:2" x14ac:dyDescent="0.25">
      <c r="A2" t="s">
        <v>66</v>
      </c>
      <c r="B2" s="40">
        <v>42419.817962962959</v>
      </c>
    </row>
    <row r="4" spans="1:2" x14ac:dyDescent="0.25">
      <c r="A4" t="s">
        <v>67</v>
      </c>
      <c r="B4" s="41">
        <f>IF((FINREFRESCADO-INICIOREFRESCADO)&gt;0,FINREFRESCADO-INICIOREFRESCADO,"")</f>
        <v>2.9629629570990801E-3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6"/>
  <sheetViews>
    <sheetView workbookViewId="0">
      <selection activeCell="J13" sqref="J13"/>
    </sheetView>
  </sheetViews>
  <sheetFormatPr baseColWidth="10" defaultColWidth="11.42578125" defaultRowHeight="15" x14ac:dyDescent="0.25"/>
  <cols>
    <col min="1" max="1" width="34.140625" bestFit="1" customWidth="1"/>
    <col min="2" max="2" width="11.5703125" bestFit="1" customWidth="1"/>
    <col min="3" max="3" width="12.57031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81</v>
      </c>
      <c r="B2" t="s">
        <v>85</v>
      </c>
      <c r="C2" t="str">
        <f>IF(RIGHT(Tabla_Parametros[par_valor],1)="\",LEFT(Tabla_Parametros[par_valor],LEN(Tabla_Parametros[par_valor])-1),Tabla_Parametros[par_valor])</f>
        <v>O:</v>
      </c>
    </row>
    <row r="3" spans="1:3" x14ac:dyDescent="0.25">
      <c r="A3" t="s">
        <v>82</v>
      </c>
      <c r="B3" t="s">
        <v>85</v>
      </c>
      <c r="C3" t="str">
        <f>IF(RIGHT(Tabla_Parametros[par_valor],1)="\",LEFT(Tabla_Parametros[par_valor],LEN(Tabla_Parametros[par_valor])-1),Tabla_Parametros[par_valor])</f>
        <v>O:</v>
      </c>
    </row>
    <row r="4" spans="1:3" x14ac:dyDescent="0.25">
      <c r="A4" t="s">
        <v>83</v>
      </c>
      <c r="B4" t="s">
        <v>85</v>
      </c>
      <c r="C4" t="str">
        <f>IF(RIGHT(Tabla_Parametros[par_valor],1)="\",LEFT(Tabla_Parametros[par_valor],LEN(Tabla_Parametros[par_valor])-1),Tabla_Parametros[par_valor])</f>
        <v>O:</v>
      </c>
    </row>
    <row r="5" spans="1:3" x14ac:dyDescent="0.25">
      <c r="A5" t="s">
        <v>86</v>
      </c>
      <c r="B5" t="s">
        <v>87</v>
      </c>
      <c r="C5" t="str">
        <f>IF(RIGHT(Tabla_Parametros[par_valor],1)="\",LEFT(Tabla_Parametros[par_valor],LEN(Tabla_Parametros[par_valor])-1),Tabla_Parametros[par_valor])</f>
        <v>0</v>
      </c>
    </row>
    <row r="6" spans="1:3" x14ac:dyDescent="0.25">
      <c r="A6" t="s">
        <v>88</v>
      </c>
      <c r="B6" t="s">
        <v>94</v>
      </c>
      <c r="C6" t="str">
        <f>IF(RIGHT(Tabla_Parametros[par_valor],1)="\",LEFT(Tabla_Parametros[par_valor],LEN(Tabla_Parametros[par_valor])-1),Tabla_Parametros[par_valor])</f>
        <v>-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B3"/>
  <sheetViews>
    <sheetView showGridLines="0" workbookViewId="0"/>
  </sheetViews>
  <sheetFormatPr baseColWidth="10" defaultColWidth="11.42578125" defaultRowHeight="15" x14ac:dyDescent="0.25"/>
  <cols>
    <col min="1" max="1" width="21" bestFit="1" customWidth="1"/>
    <col min="2" max="2" width="34.5703125" bestFit="1" customWidth="1"/>
    <col min="3" max="3" width="18.5703125" bestFit="1" customWidth="1"/>
    <col min="4" max="4" width="26.28515625" bestFit="1" customWidth="1"/>
    <col min="5" max="5" width="30.5703125" bestFit="1" customWidth="1"/>
    <col min="6" max="6" width="28.85546875" bestFit="1" customWidth="1"/>
    <col min="7" max="7" width="18.5703125" bestFit="1" customWidth="1"/>
    <col min="8" max="8" width="25.7109375" bestFit="1" customWidth="1"/>
    <col min="9" max="9" width="17.140625" bestFit="1" customWidth="1"/>
    <col min="10" max="10" width="27.7109375" bestFit="1" customWidth="1"/>
    <col min="11" max="11" width="34.5703125" bestFit="1" customWidth="1"/>
    <col min="12" max="12" width="26.28515625" bestFit="1" customWidth="1"/>
    <col min="13" max="13" width="22.7109375" bestFit="1" customWidth="1"/>
    <col min="14" max="14" width="27.140625" bestFit="1" customWidth="1"/>
  </cols>
  <sheetData>
    <row r="1" spans="1:2" ht="38.25" customHeight="1" x14ac:dyDescent="0.25">
      <c r="A1" t="s">
        <v>130</v>
      </c>
      <c r="B1" t="s">
        <v>132</v>
      </c>
    </row>
    <row r="2" spans="1:2" x14ac:dyDescent="0.25">
      <c r="A2" t="s">
        <v>92</v>
      </c>
      <c r="B2" t="s">
        <v>92</v>
      </c>
    </row>
    <row r="3" spans="1:2" x14ac:dyDescent="0.25">
      <c r="A3" t="s">
        <v>136</v>
      </c>
    </row>
  </sheetData>
  <sheetProtection algorithmName="SHA-512" hashValue="9KN1X2b35hSLCUXLBzxBtrY7cHRhBtbI6ienpmqy8T6mOTObEoYE7VAr9jvmm66uKwhxlgha9HhZqsPMXOc3ow==" saltValue="+HgaJgS6XL0dHLxBh5yThg==" spinCount="100000" sheet="1" objects="1" scenarios="1" sort="0" autoFilter="0"/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mdVolver">
          <controlPr defaultSize="0" print="0" autoLine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914400</xdr:colOff>
                <xdr:row>0</xdr:row>
                <xdr:rowOff>285750</xdr:rowOff>
              </to>
            </anchor>
          </controlPr>
        </control>
      </mc:Choice>
      <mc:Fallback>
        <control shapeId="12289" r:id="rId4" name="cmdVolver"/>
      </mc:Fallback>
    </mc:AlternateContent>
  </controls>
  <tableParts count="1"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3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99</v>
      </c>
    </row>
    <row r="3" spans="1:1" x14ac:dyDescent="0.25">
      <c r="A3" t="s">
        <v>84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3"/>
  <sheetViews>
    <sheetView workbookViewId="0">
      <selection activeCell="A2" sqref="A2:C3"/>
    </sheetView>
  </sheetViews>
  <sheetFormatPr baseColWidth="10" defaultRowHeight="15" x14ac:dyDescent="0.25"/>
  <cols>
    <col min="1" max="1" width="22.7109375" customWidth="1"/>
    <col min="2" max="2" width="20" customWidth="1"/>
  </cols>
  <sheetData>
    <row r="1" spans="1:3" x14ac:dyDescent="0.25">
      <c r="A1" t="s">
        <v>5</v>
      </c>
      <c r="B1" t="s">
        <v>4</v>
      </c>
      <c r="C1" t="s">
        <v>8</v>
      </c>
    </row>
    <row r="2" spans="1:3" x14ac:dyDescent="0.25">
      <c r="A2" t="s">
        <v>0</v>
      </c>
      <c r="B2" t="s">
        <v>130</v>
      </c>
      <c r="C2" t="s">
        <v>148</v>
      </c>
    </row>
    <row r="3" spans="1:3" x14ac:dyDescent="0.25">
      <c r="A3" t="s">
        <v>0</v>
      </c>
      <c r="B3" t="s">
        <v>132</v>
      </c>
      <c r="C3" t="s">
        <v>133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25</vt:i4>
      </vt:variant>
    </vt:vector>
  </HeadingPairs>
  <TitlesOfParts>
    <vt:vector size="46" baseType="lpstr">
      <vt:lpstr>CENTROCONTROL</vt:lpstr>
      <vt:lpstr>Fechas_Refrescado</vt:lpstr>
      <vt:lpstr>Directorios</vt:lpstr>
      <vt:lpstr>EMPRESA</vt:lpstr>
      <vt:lpstr>EMPRESABODEGA</vt:lpstr>
      <vt:lpstr>ARCHIVOSCB</vt:lpstr>
      <vt:lpstr>ARCHIVOSBODEGAS</vt:lpstr>
      <vt:lpstr>PERFIL</vt:lpstr>
      <vt:lpstr>PROVEEDORES</vt:lpstr>
      <vt:lpstr>DIAS_RESTANTES</vt:lpstr>
      <vt:lpstr>NUMERO_ITEMS</vt:lpstr>
      <vt:lpstr>TRANSFERENCIAS</vt:lpstr>
      <vt:lpstr>ITEMS_EMPRESA</vt:lpstr>
      <vt:lpstr>PATH</vt:lpstr>
      <vt:lpstr>AUX</vt:lpstr>
      <vt:lpstr>BorraTransfer</vt:lpstr>
      <vt:lpstr>ITEMS_SELECCIONADOS</vt:lpstr>
      <vt:lpstr>DURACION</vt:lpstr>
      <vt:lpstr>Parametros</vt:lpstr>
      <vt:lpstr>Alertas</vt:lpstr>
      <vt:lpstr>ArchivosPermitidos</vt:lpstr>
      <vt:lpstr>ACTUALIZACIONBODEGA</vt:lpstr>
      <vt:lpstr>ACTUALIZACIONCONSUMO</vt:lpstr>
      <vt:lpstr>ACTUALIZACIONHISTRANSFER</vt:lpstr>
      <vt:lpstr>ACTUALIZACIONINVENTARIO</vt:lpstr>
      <vt:lpstr>ACTUALIZACIONPRODUCTO</vt:lpstr>
      <vt:lpstr>BODEGAS</vt:lpstr>
      <vt:lpstr>DIR</vt:lpstr>
      <vt:lpstr>DURACIONREFRESCADO</vt:lpstr>
      <vt:lpstr>EMPRESA</vt:lpstr>
      <vt:lpstr>FECHAREFRESCADO</vt:lpstr>
      <vt:lpstr>FINREFRESCADO</vt:lpstr>
      <vt:lpstr>HojasCB_cla</vt:lpstr>
      <vt:lpstr>HojasCB_user</vt:lpstr>
      <vt:lpstr>HORAAPAGADO</vt:lpstr>
      <vt:lpstr>HORAREFRESCADO</vt:lpstr>
      <vt:lpstr>INICIOREFRESCADO</vt:lpstr>
      <vt:lpstr>ItemsSeleccionados</vt:lpstr>
      <vt:lpstr>PATH</vt:lpstr>
      <vt:lpstr>PathExcel</vt:lpstr>
      <vt:lpstr>PATHTRANSFERENCIA</vt:lpstr>
      <vt:lpstr>REFRESCADO</vt:lpstr>
      <vt:lpstr>TIPO</vt:lpstr>
      <vt:lpstr>Trans_Dada_Baja</vt:lpstr>
      <vt:lpstr>US</vt:lpstr>
      <vt:lpstr>USUARIO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CAS</cp:lastModifiedBy>
  <cp:lastPrinted>2010-03-18T04:13:57Z</cp:lastPrinted>
  <dcterms:created xsi:type="dcterms:W3CDTF">2010-02-10T19:54:10Z</dcterms:created>
  <dcterms:modified xsi:type="dcterms:W3CDTF">2016-02-24T01:47:10Z</dcterms:modified>
</cp:coreProperties>
</file>