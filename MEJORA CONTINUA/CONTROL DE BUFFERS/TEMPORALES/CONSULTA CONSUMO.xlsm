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30" windowWidth="20730" windowHeight="11505"/>
  </bookViews>
  <sheets>
    <sheet name="Consumo" sheetId="1" r:id="rId1"/>
    <sheet name="Datos" sheetId="4" state="hidden" r:id="rId2"/>
  </sheets>
  <definedNames>
    <definedName name="_cmdSalir_Range" localSheetId="0" hidden="1">{20.25,462.75,TRUE,3,7.5,58.5}</definedName>
    <definedName name="BODEGA">Datos!$B$2</definedName>
    <definedName name="BufferActual">Consumo!$G$3</definedName>
    <definedName name="BufferCalcCB">Consumo!$G$8</definedName>
    <definedName name="CODIGO">Datos!$B$3</definedName>
    <definedName name="ConsumoCalculado">Consumo!$G$10</definedName>
    <definedName name="ConsumoPromedio">Consumo!$G$6</definedName>
    <definedName name="ConsumoUsuario">Consumo!$G$14</definedName>
    <definedName name="DESCRIPCION">Datos!$B$4</definedName>
    <definedName name="EMPRESA">Datos!$B$1</definedName>
    <definedName name="FRep">Consumo!$G$5</definedName>
    <definedName name="PicoCalculado">Consumo!$G$11</definedName>
    <definedName name="PicoCB">Consumo!$G$7</definedName>
    <definedName name="PicoUsuario">Consumo!$G$15</definedName>
    <definedName name="TRep">Consumo!$G$4</definedName>
  </definedNames>
  <calcPr calcId="125725"/>
</workbook>
</file>

<file path=xl/calcChain.xml><?xml version="1.0" encoding="utf-8"?>
<calcChain xmlns="http://schemas.openxmlformats.org/spreadsheetml/2006/main">
  <c r="B15" i="1"/>
  <c r="C15"/>
  <c r="D15"/>
  <c r="G16"/>
  <c r="G10"/>
  <c r="G11" s="1"/>
  <c r="G12" l="1"/>
</calcChain>
</file>

<file path=xl/sharedStrings.xml><?xml version="1.0" encoding="utf-8"?>
<sst xmlns="http://schemas.openxmlformats.org/spreadsheetml/2006/main" count="47" uniqueCount="41">
  <si>
    <t>MES</t>
  </si>
  <si>
    <t>EGRESOS</t>
  </si>
  <si>
    <t>DEVOLUCIONES</t>
  </si>
  <si>
    <t>INGRESOS</t>
  </si>
  <si>
    <t>Empresa:</t>
  </si>
  <si>
    <t>Bodega:</t>
  </si>
  <si>
    <t>Código:</t>
  </si>
  <si>
    <t>Descripción:</t>
  </si>
  <si>
    <t>Total</t>
  </si>
  <si>
    <t>04 / 2013</t>
  </si>
  <si>
    <t>05 / 2013</t>
  </si>
  <si>
    <t>06 / 2013</t>
  </si>
  <si>
    <t>07 / 2013</t>
  </si>
  <si>
    <t>08 / 2013</t>
  </si>
  <si>
    <t>09 / 2013</t>
  </si>
  <si>
    <t>10 / 2013</t>
  </si>
  <si>
    <t>11 / 2013</t>
  </si>
  <si>
    <t>12 / 2013</t>
  </si>
  <si>
    <t>01 / 2014</t>
  </si>
  <si>
    <t>BP-MATRIZ</t>
  </si>
  <si>
    <t>MOTORALMOR</t>
  </si>
  <si>
    <t>Trep</t>
  </si>
  <si>
    <t>Frep</t>
  </si>
  <si>
    <t>Consumo Calculado</t>
  </si>
  <si>
    <t>Pico Calculado</t>
  </si>
  <si>
    <t>Consumo Usuario</t>
  </si>
  <si>
    <t>Pico Usuario</t>
  </si>
  <si>
    <t>Buffer Calculado</t>
  </si>
  <si>
    <t>Buffer Usuario</t>
  </si>
  <si>
    <t>Buffer Actual</t>
  </si>
  <si>
    <t>Buffer Calc CB</t>
  </si>
  <si>
    <t>Consumo Promedio CB</t>
  </si>
  <si>
    <t>semanas</t>
  </si>
  <si>
    <t>unidades</t>
  </si>
  <si>
    <t>unidades/semana</t>
  </si>
  <si>
    <t>Pico CB</t>
  </si>
  <si>
    <t>Hojas CB</t>
  </si>
  <si>
    <t>02 / 2014</t>
  </si>
  <si>
    <t>03 / 2014</t>
  </si>
  <si>
    <t>06.077.0006</t>
  </si>
  <si>
    <t xml:space="preserve">FOCO B35 12V35/35W              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</si>
</sst>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3" xfId="0" applyFill="1" applyBorder="1" applyProtection="1">
      <protection locked="0"/>
    </xf>
    <xf numFmtId="0" fontId="0" fillId="2" borderId="0" xfId="0" applyFill="1" applyBorder="1" applyProtection="1">
      <protection locked="0"/>
    </xf>
  </cellXfs>
  <cellStyles count="1">
    <cellStyle name="Normal" xfId="0" builtinId="0"/>
  </cellStyles>
  <dxfs count="9"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ables/table1.xml><?xml version="1.0" encoding="utf-8"?>
<table xmlns="http://schemas.openxmlformats.org/spreadsheetml/2006/main" id="1" name="Consumo" displayName="Consumo" ref="A2:D15" totalsRowCount="1" headerRowDxfId="8" dataDxfId="7">
  <autoFilter ref="A2:D14"/>
  <tableColumns count="4">
    <tableColumn id="1" name="MES" totalsRowLabel="Total" dataDxfId="6"/>
    <tableColumn id="2" name="EGRESOS" totalsRowFunction="sum" dataDxfId="5" totalsRowDxfId="0"/>
    <tableColumn id="3" name="DEVOLUCIONES" totalsRowFunction="sum" dataDxfId="4" totalsRowDxfId="1"/>
    <tableColumn id="4" name="INGRESOS" totalsRowFunction="sum" dataDxfId="3" totalsRowDxfId="2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H16"/>
  <sheetViews>
    <sheetView showGridLines="0" tabSelected="1" workbookViewId="0">
      <selection activeCell="F23" sqref="F23"/>
    </sheetView>
  </sheetViews>
  <sheetFormatPr baseColWidth="10" defaultRowHeight="15"/>
  <cols>
    <col min="1" max="2" width="14.7109375" customWidth="1"/>
    <col min="3" max="3" width="17" customWidth="1"/>
    <col min="4" max="4" width="14.7109375" customWidth="1"/>
    <col min="6" max="6" width="21.42578125" bestFit="1" customWidth="1"/>
    <col min="7" max="7" width="7.7109375" customWidth="1"/>
    <col min="8" max="8" width="17" bestFit="1" customWidth="1"/>
  </cols>
  <sheetData>
    <row r="1" spans="1:8" ht="80.25" customHeight="1"/>
    <row r="2" spans="1:8" ht="24.75" customHeight="1">
      <c r="A2" s="16" t="s">
        <v>0</v>
      </c>
      <c r="B2" s="16" t="s">
        <v>1</v>
      </c>
      <c r="C2" s="16" t="s">
        <v>2</v>
      </c>
      <c r="D2" s="16" t="s">
        <v>3</v>
      </c>
      <c r="F2" s="17" t="s">
        <v>36</v>
      </c>
    </row>
    <row r="3" spans="1:8">
      <c r="A3" s="2" t="s">
        <v>9</v>
      </c>
      <c r="B3" s="2">
        <v>2850</v>
      </c>
      <c r="C3" s="2">
        <v>0</v>
      </c>
      <c r="D3" s="2">
        <v>4000</v>
      </c>
      <c r="F3" s="13" t="s">
        <v>29</v>
      </c>
      <c r="G3" s="5">
        <v>20000</v>
      </c>
      <c r="H3" s="6" t="s">
        <v>33</v>
      </c>
    </row>
    <row r="4" spans="1:8">
      <c r="A4" s="2" t="s">
        <v>10</v>
      </c>
      <c r="B4" s="2">
        <v>3743</v>
      </c>
      <c r="C4" s="2">
        <v>0</v>
      </c>
      <c r="D4" s="2">
        <v>3999</v>
      </c>
      <c r="F4" s="14" t="s">
        <v>21</v>
      </c>
      <c r="G4" s="8">
        <v>18</v>
      </c>
      <c r="H4" s="9" t="s">
        <v>32</v>
      </c>
    </row>
    <row r="5" spans="1:8">
      <c r="A5" s="2" t="s">
        <v>11</v>
      </c>
      <c r="B5" s="2">
        <v>1450</v>
      </c>
      <c r="C5" s="2">
        <v>51</v>
      </c>
      <c r="D5" s="2">
        <v>0</v>
      </c>
      <c r="F5" s="14" t="s">
        <v>22</v>
      </c>
      <c r="G5" s="8">
        <v>4</v>
      </c>
      <c r="H5" s="9" t="s">
        <v>32</v>
      </c>
    </row>
    <row r="6" spans="1:8">
      <c r="A6" s="2" t="s">
        <v>12</v>
      </c>
      <c r="B6" s="2">
        <v>0</v>
      </c>
      <c r="C6" s="2">
        <v>1</v>
      </c>
      <c r="D6" s="2">
        <v>0</v>
      </c>
      <c r="F6" s="14" t="s">
        <v>31</v>
      </c>
      <c r="G6" s="8">
        <v>537.29999999999995</v>
      </c>
      <c r="H6" s="9" t="s">
        <v>34</v>
      </c>
    </row>
    <row r="7" spans="1:8">
      <c r="A7" s="2" t="s">
        <v>13</v>
      </c>
      <c r="B7" s="2">
        <v>0</v>
      </c>
      <c r="C7" s="2">
        <v>0</v>
      </c>
      <c r="D7" s="2">
        <v>0</v>
      </c>
      <c r="F7" s="14" t="s">
        <v>35</v>
      </c>
      <c r="G7" s="8">
        <v>1.5</v>
      </c>
      <c r="H7" s="9"/>
    </row>
    <row r="8" spans="1:8">
      <c r="A8" s="2" t="s">
        <v>14</v>
      </c>
      <c r="B8" s="2">
        <v>6911</v>
      </c>
      <c r="C8" s="2">
        <v>0</v>
      </c>
      <c r="D8" s="2">
        <v>10000</v>
      </c>
      <c r="F8" s="15" t="s">
        <v>30</v>
      </c>
      <c r="G8" s="11">
        <v>17731</v>
      </c>
      <c r="H8" s="12" t="s">
        <v>33</v>
      </c>
    </row>
    <row r="9" spans="1:8">
      <c r="A9" s="2" t="s">
        <v>15</v>
      </c>
      <c r="B9" s="2">
        <v>2600</v>
      </c>
      <c r="C9" s="2">
        <v>1</v>
      </c>
      <c r="D9" s="2">
        <v>9999</v>
      </c>
    </row>
    <row r="10" spans="1:8">
      <c r="A10" s="2" t="s">
        <v>16</v>
      </c>
      <c r="B10" s="2">
        <v>2760</v>
      </c>
      <c r="C10" s="2">
        <v>0</v>
      </c>
      <c r="D10" s="2">
        <v>0</v>
      </c>
      <c r="F10" s="13" t="s">
        <v>23</v>
      </c>
      <c r="G10" s="4">
        <f ca="1">IFERROR(ROUND(AVERAGE(OFFSET(Consumo[[#Headers],[EGRESOS]],7,0,6,1))/4,1),0)</f>
        <v>547.5</v>
      </c>
      <c r="H10" s="6" t="s">
        <v>34</v>
      </c>
    </row>
    <row r="11" spans="1:8">
      <c r="A11" s="2" t="s">
        <v>17</v>
      </c>
      <c r="B11" s="2">
        <v>1730</v>
      </c>
      <c r="C11" s="2">
        <v>0</v>
      </c>
      <c r="D11" s="2">
        <v>0</v>
      </c>
      <c r="F11" s="14" t="s">
        <v>24</v>
      </c>
      <c r="G11" s="7">
        <f ca="1">IFERROR(ROUND(MAX(OFFSET(Consumo[[#Headers],[EGRESOS]],7,0,6,1))/4/ConsumoCalculado,1),0)</f>
        <v>1.7</v>
      </c>
      <c r="H11" s="9"/>
    </row>
    <row r="12" spans="1:8">
      <c r="A12" s="2" t="s">
        <v>18</v>
      </c>
      <c r="B12" s="2">
        <v>2240</v>
      </c>
      <c r="C12" s="2">
        <v>57</v>
      </c>
      <c r="D12" s="2">
        <v>0</v>
      </c>
      <c r="F12" s="15" t="s">
        <v>27</v>
      </c>
      <c r="G12" s="10">
        <f ca="1">IFERROR(ROUND(ConsumoCalculado*PicoCalculado*(TRep+FRep),0),0)</f>
        <v>20477</v>
      </c>
      <c r="H12" s="12" t="s">
        <v>33</v>
      </c>
    </row>
    <row r="13" spans="1:8">
      <c r="A13" s="2" t="s">
        <v>37</v>
      </c>
      <c r="B13" s="2">
        <v>3810</v>
      </c>
      <c r="C13" s="2">
        <v>7</v>
      </c>
      <c r="D13" s="2">
        <v>0</v>
      </c>
    </row>
    <row r="14" spans="1:8">
      <c r="A14" s="2" t="s">
        <v>38</v>
      </c>
      <c r="B14" s="2">
        <v>0</v>
      </c>
      <c r="C14" s="2">
        <v>0</v>
      </c>
      <c r="D14" s="2">
        <v>0</v>
      </c>
      <c r="F14" s="13" t="s">
        <v>25</v>
      </c>
      <c r="G14" s="18"/>
      <c r="H14" s="6" t="s">
        <v>34</v>
      </c>
    </row>
    <row r="15" spans="1:8">
      <c r="A15" t="s">
        <v>8</v>
      </c>
      <c r="B15" s="2">
        <f>SUBTOTAL(109,[EGRESOS])</f>
        <v>28094</v>
      </c>
      <c r="C15" s="2">
        <f>SUBTOTAL(109,[DEVOLUCIONES])</f>
        <v>117</v>
      </c>
      <c r="D15" s="2">
        <f>SUBTOTAL(109,[INGRESOS])</f>
        <v>27998</v>
      </c>
      <c r="F15" s="14" t="s">
        <v>26</v>
      </c>
      <c r="G15" s="19">
        <v>1</v>
      </c>
      <c r="H15" s="9"/>
    </row>
    <row r="16" spans="1:8">
      <c r="F16" s="15" t="s">
        <v>28</v>
      </c>
      <c r="G16" s="11">
        <f>IFERROR(ROUND(ConsumoUsuario*PicoUsuario*(TRep+FRep),0),0)</f>
        <v>0</v>
      </c>
      <c r="H16" s="12" t="s">
        <v>33</v>
      </c>
    </row>
  </sheetData>
  <pageMargins left="0.7" right="0.7" top="0.75" bottom="0.75" header="0.3" footer="0.3"/>
  <pageSetup orientation="portrait" horizontalDpi="0" verticalDpi="0" r:id="rId1"/>
  <legacyDrawing r:id="rId2"/>
  <controls>
    <control shapeId="1027" r:id="rId3" name="cmdSalir"/>
  </controls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4"/>
  <dimension ref="A1:B4"/>
  <sheetViews>
    <sheetView showGridLines="0" workbookViewId="0">
      <selection activeCell="B8" sqref="B8"/>
    </sheetView>
  </sheetViews>
  <sheetFormatPr baseColWidth="10" defaultRowHeight="15"/>
  <cols>
    <col min="2" max="2" width="66.5703125" customWidth="1"/>
  </cols>
  <sheetData>
    <row r="1" spans="1:2">
      <c r="A1" s="1" t="s">
        <v>4</v>
      </c>
      <c r="B1" s="3" t="s">
        <v>20</v>
      </c>
    </row>
    <row r="2" spans="1:2">
      <c r="A2" s="1" t="s">
        <v>5</v>
      </c>
      <c r="B2" s="3" t="s">
        <v>19</v>
      </c>
    </row>
    <row r="3" spans="1:2">
      <c r="A3" s="1" t="s">
        <v>6</v>
      </c>
      <c r="B3" s="3" t="s">
        <v>39</v>
      </c>
    </row>
    <row r="4" spans="1:2">
      <c r="A4" s="1" t="s">
        <v>7</v>
      </c>
      <c r="B4" s="3" t="s">
        <v>40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14</vt:i4>
      </vt:variant>
    </vt:vector>
  </HeadingPairs>
  <TitlesOfParts>
    <vt:vector size="16" baseType="lpstr">
      <vt:lpstr>Consumo</vt:lpstr>
      <vt:lpstr>Datos</vt:lpstr>
      <vt:lpstr>BODEGA</vt:lpstr>
      <vt:lpstr>BufferActual</vt:lpstr>
      <vt:lpstr>BufferCalcCB</vt:lpstr>
      <vt:lpstr>CODIGO</vt:lpstr>
      <vt:lpstr>ConsumoCalculado</vt:lpstr>
      <vt:lpstr>ConsumoPromedio</vt:lpstr>
      <vt:lpstr>ConsumoUsuario</vt:lpstr>
      <vt:lpstr>DESCRIPCION</vt:lpstr>
      <vt:lpstr>EMPRESA</vt:lpstr>
      <vt:lpstr>FRep</vt:lpstr>
      <vt:lpstr>PicoCalculado</vt:lpstr>
      <vt:lpstr>PicoCB</vt:lpstr>
      <vt:lpstr>PicoUsuario</vt:lpstr>
      <vt:lpstr>TRep</vt:lpstr>
    </vt:vector>
  </TitlesOfParts>
  <Company>Updatesofts Forums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Fabian</cp:lastModifiedBy>
  <dcterms:created xsi:type="dcterms:W3CDTF">2014-01-20T16:17:00Z</dcterms:created>
  <dcterms:modified xsi:type="dcterms:W3CDTF">2014-03-13T14:49:18Z</dcterms:modified>
</cp:coreProperties>
</file>